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senzani\Documents\PhD 2020\MyWorkFiles\Paper_1\DataFile\"/>
    </mc:Choice>
  </mc:AlternateContent>
  <bookViews>
    <workbookView xWindow="0" yWindow="0" windowWidth="19200" windowHeight="6550" activeTab="2"/>
  </bookViews>
  <sheets>
    <sheet name="SADC WEO-All" sheetId="4" r:id="rId1"/>
    <sheet name="Tax Revenue" sheetId="3" r:id="rId2"/>
    <sheet name="Analysis" sheetId="1" r:id="rId3"/>
    <sheet name="Interest rates" sheetId="2"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 i="1"/>
  <c r="U70" i="1"/>
  <c r="S70" i="1"/>
  <c r="W47" i="1"/>
  <c r="U47" i="1"/>
  <c r="V48" i="1"/>
  <c r="V25" i="1"/>
  <c r="Y24" i="1"/>
  <c r="U93" i="1"/>
  <c r="P93" i="1"/>
  <c r="P24" i="1"/>
  <c r="R48" i="1"/>
  <c r="P186" i="1"/>
  <c r="P187" i="1"/>
  <c r="P188" i="1"/>
  <c r="P189" i="1"/>
  <c r="P190" i="1"/>
  <c r="P191" i="1"/>
  <c r="P192" i="1"/>
  <c r="P193" i="1"/>
  <c r="P194" i="1"/>
  <c r="Z70" i="1" l="1"/>
  <c r="Y70" i="1"/>
  <c r="W70" i="1"/>
  <c r="AB94" i="1"/>
  <c r="AB95" i="1" s="1"/>
  <c r="AA73" i="1" l="1"/>
  <c r="AA72" i="1"/>
  <c r="AA71" i="1" s="1"/>
  <c r="I9" i="3"/>
  <c r="H9" i="3" s="1"/>
  <c r="G9" i="3" s="1"/>
  <c r="F9" i="3" s="1"/>
  <c r="E9" i="3" s="1"/>
  <c r="D9" i="3" s="1"/>
  <c r="C9" i="3" s="1"/>
  <c r="K8" i="3"/>
  <c r="J8" i="3"/>
  <c r="I8" i="3"/>
  <c r="H8" i="3"/>
  <c r="G8" i="3" s="1"/>
  <c r="F8" i="3" s="1"/>
  <c r="E8" i="3" s="1"/>
  <c r="D8" i="3" s="1"/>
  <c r="C8" i="3" s="1"/>
  <c r="K5" i="3"/>
  <c r="J5" i="3"/>
  <c r="I5" i="3"/>
  <c r="H5" i="3" s="1"/>
  <c r="G5" i="3" s="1"/>
  <c r="F5" i="3" s="1"/>
  <c r="E5" i="3" s="1"/>
  <c r="D5" i="3" s="1"/>
  <c r="C5" i="3" s="1"/>
  <c r="E4" i="3"/>
  <c r="D4" i="3"/>
  <c r="C4" i="3" s="1"/>
  <c r="Y3" i="3"/>
  <c r="H2" i="3"/>
  <c r="G2" i="3"/>
  <c r="F2" i="3" s="1"/>
  <c r="E2" i="3" s="1"/>
  <c r="D2" i="3" s="1"/>
  <c r="C2" i="3" s="1"/>
  <c r="U194" i="1" l="1"/>
  <c r="U193" i="1" s="1"/>
  <c r="U192" i="1" s="1"/>
  <c r="U191" i="1" s="1"/>
  <c r="U190" i="1" s="1"/>
  <c r="U189" i="1" s="1"/>
  <c r="U188" i="1" s="1"/>
  <c r="U187" i="1" s="1"/>
  <c r="U186" i="1" s="1"/>
  <c r="S194" i="1"/>
  <c r="S193" i="1" s="1"/>
  <c r="S192" i="1" s="1"/>
  <c r="S191" i="1" s="1"/>
  <c r="S190" i="1" s="1"/>
  <c r="S189" i="1" s="1"/>
  <c r="S188" i="1" s="1"/>
  <c r="S187" i="1" s="1"/>
  <c r="S186" i="1" s="1"/>
  <c r="T2" i="1"/>
  <c r="Q3" i="1"/>
  <c r="Q2" i="1" s="1"/>
  <c r="R3" i="1"/>
  <c r="R2" i="1" s="1"/>
  <c r="O4" i="1"/>
  <c r="O3" i="1" s="1"/>
  <c r="O2" i="1" s="1"/>
  <c r="N113" i="1" l="1"/>
  <c r="N112" i="1"/>
  <c r="N111" i="1"/>
  <c r="N110" i="1"/>
  <c r="N109" i="1"/>
  <c r="N107" i="1"/>
  <c r="N106" i="1"/>
  <c r="N105" i="1"/>
  <c r="N104" i="1"/>
</calcChain>
</file>

<file path=xl/sharedStrings.xml><?xml version="1.0" encoding="utf-8"?>
<sst xmlns="http://schemas.openxmlformats.org/spreadsheetml/2006/main" count="7477" uniqueCount="256">
  <si>
    <t>Country Name</t>
  </si>
  <si>
    <t>c_id</t>
  </si>
  <si>
    <t>y_id</t>
  </si>
  <si>
    <t>infl</t>
  </si>
  <si>
    <t>gross_pub_debt</t>
  </si>
  <si>
    <t>Angola</t>
  </si>
  <si>
    <t>Botswana</t>
  </si>
  <si>
    <t>Eswatini</t>
  </si>
  <si>
    <t>Madagascar</t>
  </si>
  <si>
    <t>Malawi</t>
  </si>
  <si>
    <t>Mauritius</t>
  </si>
  <si>
    <t>South Africa</t>
  </si>
  <si>
    <t>Tanzania</t>
  </si>
  <si>
    <t>Zambia</t>
  </si>
  <si>
    <t>i_real</t>
  </si>
  <si>
    <t>i-lend</t>
  </si>
  <si>
    <t>i-dep</t>
  </si>
  <si>
    <t>i-spread</t>
  </si>
  <si>
    <t>year</t>
  </si>
  <si>
    <t>Series Name</t>
  </si>
  <si>
    <t>Tax revenue (% of GDP)</t>
  </si>
  <si>
    <t>Data from database: World Development Indicators</t>
  </si>
  <si>
    <t>Last Updated: 02/21/2024</t>
  </si>
  <si>
    <t>Country</t>
  </si>
  <si>
    <t>Subject Descriptor</t>
  </si>
  <si>
    <t>Subject Notes</t>
  </si>
  <si>
    <t>Units</t>
  </si>
  <si>
    <t>Scale</t>
  </si>
  <si>
    <t>Country/Series-specific Notes</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</si>
  <si>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</si>
  <si>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</si>
  <si>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</si>
  <si>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</si>
  <si>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Ministry of Planning Latest actual data: 2015 National accounts manual used: European System of Accounts (ESA) 1995 GDP valuation: Market prices Start/end months of reporting year: January/December Base year: 2002 Chain-weighted: No Primary domestic currency: Angolan kwanza Data last updated: 08/2017</t>
  </si>
  <si>
    <t>Annual percentages of constant price GDP are year-on-year changes; the base year is country-specific .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</si>
  <si>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</si>
  <si>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</si>
  <si>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Gross domestic product, current prices</t>
  </si>
  <si>
    <t>Expressed in billions of national currency units . Expenditure-based GDP is total final expenditures at purchasers? prices (including the f.o.b. value of exports of goods and services), less the f.o.b. value of imports of goods and services. [SNA 1993]</t>
  </si>
  <si>
    <t>--</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</si>
  <si>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</si>
  <si>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</si>
  <si>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</si>
  <si>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</si>
  <si>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Purchasing power parity; international dollars</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</si>
  <si>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</si>
  <si>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</si>
  <si>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</si>
  <si>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</si>
  <si>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</si>
  <si>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</si>
  <si>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</si>
  <si>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GDP is expressed in constant international dollars per person. Data are derived by dividing constant price purchasing-power parity (PPP) GDP by total population.</t>
  </si>
  <si>
    <t>Purchasing power parity; 2011 international dollar</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</si>
  <si>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</si>
  <si>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</si>
  <si>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</si>
  <si>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GDP is expressed in current U.S. dollars per person. Data are derived by first converting GDP in national currency to U.S. dollars and then dividing it by total population.</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</si>
  <si>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</si>
  <si>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</si>
  <si>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</si>
  <si>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</si>
  <si>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</si>
  <si>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</si>
  <si>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Percent</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</si>
  <si>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</si>
  <si>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</si>
  <si>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National currency per current international dollar</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</si>
  <si>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</si>
  <si>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</si>
  <si>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</si>
  <si>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</si>
  <si>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</si>
  <si>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</si>
  <si>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</si>
  <si>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2015 Harmonized prices: No Frequency of source data: Monthly Base year: 2010. Although the base year is reported as 2010, we are currently using December 2010 (=100) as the base month. Primary domestic currency: Angolan kwanza Data last updated: 08/2017</t>
  </si>
  <si>
    <t>Annual percentages of average consumer prices are year-on-year changes.</t>
  </si>
  <si>
    <t>See notes for:  Inflation, average consumer prices (Index).</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</si>
  <si>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</si>
  <si>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</si>
  <si>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 xml:space="preserve"> Annual percentages of end of period consumer prices are year-on-year changes.</t>
  </si>
  <si>
    <t>See notes for:  Inflation, end of period consumer prices (Index).</t>
  </si>
  <si>
    <t>n/a</t>
  </si>
  <si>
    <t>Six-month London interbank offered rate (LIBOR)</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</si>
  <si>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</si>
  <si>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</si>
  <si>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Central Bank. National Bank of Angola Latest actual data: 2015 Base year: 2005 Methodology used to derive volumes: Other Formula used to derive volumes: Other Chain-weighted: No Trade System: General trade Oil coverage: Primary or unrefined products;Secondary or refined products;Other; Valuation of exports: Free on board (FOB) Valuation of imports: Cost, insurance, freight (CIF) Primary domestic currency: Angolan kwanza Data last updated: 08/2017</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</si>
  <si>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</si>
  <si>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</si>
  <si>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</si>
  <si>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</si>
  <si>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</si>
  <si>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</si>
  <si>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</si>
  <si>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</si>
  <si>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</si>
  <si>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</si>
  <si>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</si>
  <si>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</si>
  <si>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</si>
  <si>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</si>
  <si>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</si>
  <si>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National Statistics Office Latest actual data: 2015 Primary domestic currency: Angolan kwanza Data last updated: 08/2017</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</si>
  <si>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</si>
  <si>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</si>
  <si>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Latest actual data: 2015 Start/end months of reporting year: January/December GFS Manual used: Government Finance Statistics Manual (GFSM) 2001 Basis of recording: Other General government includes: Central Government;Other;. Central Government and provincial governments Valuation of public debt: Nominal value Primary domestic currency: Angolan kwanza Data last updated: 08/2017</t>
  </si>
  <si>
    <t>See notes for:  General government revenue (National currency).</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</si>
  <si>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</si>
  <si>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</si>
  <si>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See notes for:  General government total expenditure (National currency).</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</si>
  <si>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</si>
  <si>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</si>
  <si>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See notes for:  General government net lending/borrowing (National currency).</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</si>
  <si>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</si>
  <si>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</si>
  <si>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General government primary net lending/borrowing</t>
  </si>
  <si>
    <t>Primary net lending/borrowing is net lending (+)/borrowing (?) plus net interest payable/paid (interest expense minus interest revenue).</t>
  </si>
  <si>
    <t>See notes for:  General government primary net lending/borrowing (National currency).</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</si>
  <si>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</si>
  <si>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</si>
  <si>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</si>
  <si>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</si>
  <si>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See notes for:  General government gross debt (National currency).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</si>
  <si>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</si>
  <si>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</si>
  <si>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</si>
  <si>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</si>
  <si>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National Bank of Angola Latest actual data: 2015 BOP Manual used: Balance of Payments and International Investment Position Manual, sixth edition (BPM6) Primary domestic currency: Angolan kwanza Data last updated: 08/2017</t>
  </si>
  <si>
    <t>See notes for:  Gross domestic product, current prices (National currency) Current account balance (U.S. dollars).</t>
  </si>
  <si>
    <t>Source: National Statistics Office Latest actual data: 2015 National accounts manual used: System of National Accounts (SNA) 1993 GDP valuation: Market prices Start/end months of reporting year: January/December Base year: 2006 Chain-weighted: No Primary domestic currency: Botswana pula Data last updated: 07/2017</t>
  </si>
  <si>
    <t>Source: National Statistics Office Latest actual data: 2016 Harmonized prices: No Frequency of source data: Monthly Base year: 2000. 9/1/2006 Primary domestic currency: Botswana pula Data last updated: 07/2017</t>
  </si>
  <si>
    <t>Source: National Statistics Office Latest actual data: 2014 Base year: 2000 Methodology used to derive volumes: Deflation by survey-based price indexes Formula used to derive volumes: Fisher Chain-weighted: No Trade System: General trade Oil coverage: Secondary or refined products; Valuation of exports: Free on board (FOB) Valuation of imports: Cost, insurance, freight (CIF) Primary domestic currency: Botswana pula Data last updated: 07/2017</t>
  </si>
  <si>
    <t>Source: International Financial Institution. World Development Indicators Latest actual data: 2008 Primary domestic currency: Botswana pula Data last updated: 07/2017</t>
  </si>
  <si>
    <t>Source: Ministry of Finance or Treasury Latest actual data: 2015/16 Start/end months of reporting year: April/March GFS Manual used: Government Finance Statistics Manual (GFSM) 1986 Basis of recording: Cash General government includes: Central Government; Valuation of public debt: Nominal value Primary domestic currency: Botswana pula Data last updated: 07/2017</t>
  </si>
  <si>
    <t>See notes for:  General government net debt (National currency).</t>
  </si>
  <si>
    <t>Source: Central Bank Latest actual data: 2015 BOP Manual used: Balance of Payments Manual, fifth edition (BPM5) Primary domestic currency: Botswana pula Data last updated: 07/2017</t>
  </si>
  <si>
    <t>Comoros</t>
  </si>
  <si>
    <t>Source: Planning Commissariat Latest actual data: 2015 National accounts manual used: Other GDP valuation: Market prices Start/end months of reporting year: January/December Base year: 2000 Chain-weighted: No Primary domestic currency: Comorian franc Data last updated: 09/2017</t>
  </si>
  <si>
    <t>Source: National Statistics Office. Planning Commissariat Latest actual data: 2015 Harmonized prices: No Frequency of source data: Monthly Base year: 2000 Primary domestic currency: Comorian franc Data last updated: 09/2017</t>
  </si>
  <si>
    <t>Source: Central Bank and IMF Staff Latest actual data: 2016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09/2017</t>
  </si>
  <si>
    <t>Source: IMF Staff Estimates Latest actual data: 2015 Primary domestic currency: Comorian franc Data last updated: 09/2017</t>
  </si>
  <si>
    <t>Source: Ministry of Finance or Treasury Latest actual data: 2016 Start/end months of reporting year: January/December GFS Manual used: Government Finance Statistics Manual (GFSM) 1986 Basis of recording: Cash for expenditures, accrual for revenues General government includes: Central Government; Valuation of public debt: Nominal value Primary domestic currency: Comorian franc Data last updated: 09/2017</t>
  </si>
  <si>
    <t>Source: Central Bank and IMF Staff Latest actual data: 2016 BOP Manual used: Balance of Payments Manual, fifth edition (BPM5) Primary domestic currency: Comorian franc Data last updated: 09/2017</t>
  </si>
  <si>
    <t>Democratic Republic of the Congo</t>
  </si>
  <si>
    <t>Source: National Statistics Office Latest actual data: 2015 Notes: Data prior to 2001 cannot be confirmed by national sources at this time. National accounts manual used: System of National Accounts (SNA) 1993 GDP valuation: Market prices Start/end months of reporting year: January/December Base year: 2005 Chain-weighted: No Primary domestic currency: Congo franc Data last updated: 09/2017</t>
  </si>
  <si>
    <t>Source: Central Bank Latest actual data: 2015 Notes: Data prior to 2001 cannot be confirmed by national sources at this time. Harmonized prices: Yes Frequency of source data: Monthly Base year: 2000 Primary domestic currency: Congo franc Data last updated: 09/2017</t>
  </si>
  <si>
    <t>Source: Central Bank Latest actual data: 2015 Base year: 2002 Methodology used to derive volumes: Other Formula used to derive volumes: Laspeyres-type Chain-weighted: No Trade System: General trade Valuation of exports: Free on board (FOB) Valuation of imports: Cost, insurance, freight (CIF) Primary domestic currency: Congo franc Data last updated: 09/2017</t>
  </si>
  <si>
    <t>Source: UN Population Latest actual data: 1983 Notes: There has not been a census since 1983. Primary domestic currency: Congo franc Data last updated: 09/2017</t>
  </si>
  <si>
    <t>Source: Ministry of Finance or Treasury Latest actual data: 2015 Start/end months of reporting year: January/December GFS Manual used: Government Finance Statistics Manual (GFSM) 2001 Basis of recording: Accrual General government includes: Central Government;Local Government; Valuation of public debt: Nominal value Primary domestic currency: Congo franc Data last updated: 09/2017</t>
  </si>
  <si>
    <t>Source: Central Bank Latest actual data: 2015 Notes: Data prior to 2001 cannot be confirmed by national sources at this time. BOP Manual used: Balance of Payments Manual, fifth edition (BPM5) Primary domestic currency: Congo franc Data last updated: 09/2017</t>
  </si>
  <si>
    <t>Lesotho</t>
  </si>
  <si>
    <t>Source: National Statistics Office Latest actual data: 2015/16. 2015/2016 is latest actual data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The authorities produce estimates of GDP on the basis of sectoral production GDP valuation: Market prices Start/end months of reporting year: April/March. Observations for NGDP_R[12/13] and NGDP[12/13] are saved in DMX in year 2012 Base year: 2012/13. 2012/2013 is base year Chain-weighted: No Primary domestic currency: Lesotho loti Data last updated: 08/2017</t>
  </si>
  <si>
    <t>Source: National Statistics Office Latest actual data: 2016 Harmonized prices: No Frequency of source data: Monthly Base year: 2016 Primary domestic currency: Lesotho loti Data last updated: 08/2017</t>
  </si>
  <si>
    <t>Source: Central Bank Latest actual data: 2016 Base year: 2005 Methodology used to derive volumes: Weighted average of volume changes Formula used to derive volumes: Laspeyres-type Chain-weighted: Yes, from 1982 Trade System: General trade Excluded items in trade: In transit;Re-exports;Re-imports; Oil coverage: Secondary or refined products;Other; Valuation of exports: Free on board (FOB) Valuation of imports: Cost, insurance, freight (CIF) Primary domestic currency: Lesotho loti Data last updated: 08/2017</t>
  </si>
  <si>
    <t>Source: National Statistics Office Latest actual data: 2006 Primary domestic currency: Lesotho loti Data last updated: 08/2017</t>
  </si>
  <si>
    <t>Source: Ministry of Finance or Treasury Latest actual data: 2016/17 Start/end months of reporting year: April/March GFS Manual used: Government Finance Statistics Manual (GFSM) 2001 Basis of recording: Cash General government includes: Central Government;Local Government; Valuation of public debt: Current market value Primary domestic currency: Lesotho loti Data last updated: 08/2017</t>
  </si>
  <si>
    <t>Source: Central Bank Latest actual data: 2016/17 BOP Manual used: Balance of Payments and International Investment Position Manual, sixth edition (BPM6) Primary domestic currency: Lesotho loti Data last updated: 08/2017</t>
  </si>
  <si>
    <t>Source: National Statistics Office Latest actual data: 2015 National accounts manual used: 1968 GDP valuation: Market prices Start/end months of reporting year: January/December Base year: 2000 Chain-weighted: No Primary domestic currency: Malagasy ariary Data last updated: 08/2017</t>
  </si>
  <si>
    <t>Source: National Statistics Office Latest actual data: 2016. Lastest CPI -- 2017M5 Harmonized prices: No Frequency of source data: Monthly Base year: 2000 Primary domestic currency: Malagasy ariary Data last updated: 08/2017</t>
  </si>
  <si>
    <t>Source: Central Bank Latest actual data: 2016 Base year: 2010 Chain-weighted: No Primary domestic currency: Malagasy ariary Data last updated: 08/2017</t>
  </si>
  <si>
    <t>Source: UN, World Bank, and National Statistical Office Latest actual data: 2010 Primary domestic currency: Malagasy ariary Data last updated: 08/2017</t>
  </si>
  <si>
    <t>Source: Ministry of Finance or Treasury Latest actual data: 2016 Start/end months of reporting year: January/December GFS Manual used: Government Finance Statistics Manual (GFSM) 1986 Basis of recording: Cash. Mostly cash General government includes: Central Government;Local Government;. Data is for central government Primary domestic currency: Malagasy ariary Data last updated: 08/2017</t>
  </si>
  <si>
    <t>Source: Central Bank Latest actual data: 2016 BOP Manual used: Balance of Payments Manual, fifth edition (BPM5). As of Jan 2017, the Central Bank of Madagascar uses the 5th IMF?s Balance of Payments and International Investment Position Manual. They are in the process of migrating to the 6th edition of the Manual. Primary domestic currency: Malagasy ariary Data last updated: 08/2017</t>
  </si>
  <si>
    <t>Source: National Statistics Office Latest actual data: 2011. Since 2011 we have used IMF staff?s and Malawian authorities? combined estimates for National Accounts data. National accounts manual used: System of National Accounts (SNA) 2008 GDP valuation: Market prices Start/end months of reporting year: January/December Base year: 2010 Chain-weighted: No Primary domestic currency: Malawi kwacha Data last updated: 08/2017</t>
  </si>
  <si>
    <t>Source: National Statistics Office Latest actual data: 2016 Harmonized prices: No Frequency of source data: Monthly Base year: 2000 Primary domestic currency: Malawi kwacha Data last updated: 08/2017</t>
  </si>
  <si>
    <t>Source: National Statistics Office Latest actual data: 2016 Base year: 2005 Valuation of exports: Free on board (FOB) Valuation of imports: Cost, insurance, freight (CIF) Primary domestic currency: Malawi kwacha Data last updated: 08/2017</t>
  </si>
  <si>
    <t>Source: International Financial Institution Latest actual data: 2016 Primary domestic currency: Malawi kwacha Data last updated: 08/2017</t>
  </si>
  <si>
    <t>Source: Ministry of Finance or Treasury Latest actual data: 2015/16 Start/end months of reporting year: July/June GFS Manual used: Government Finance Statistics Manual (GFSM) 1986 Basis of recording: Cash General government includes: Central Government Primary domestic currency: Malawi kwacha Data last updated: 08/2017</t>
  </si>
  <si>
    <t>Source: National Statistics Office. Other sources: Tobacco Control Commission, Ministry of Mines. Latest actual data: 2016 BOP Manual used: Balance of Payments Manual, fifth edition (BPM5) Primary domestic currency: Malawi kwacha Data last updated: 08/2017</t>
  </si>
  <si>
    <t>Source: National Statistics Office Latest actual data: 2016 Notes: Figures for exports and imports of services are not equal to those compiled by the BOM, due to the difference in sectoral coverage and the treatment of FISIM by CSO and BOM. National accounts manual used: System of National Accounts (SNA) 1993 GDP valuation: Market prices Start/end months of reporting year: January/December Base year: 2006 Chain-weighted: Yes, from 1999 Primary domestic currency: Mauritian rupee Data last updated: 09/2017</t>
  </si>
  <si>
    <t>Source: National Statistics Office Latest actual data: 2016 Harmonized prices: No. Data refer to calendar years Frequency of source data: Monthly Base year: 2000 Primary domestic currency: Mauritian rupee Data last updated: 09/2017</t>
  </si>
  <si>
    <t>Source: Central Bank Latest actual data: 2016. Preliminary data Base year: 2005. Oil deflators on 2000 base year. Methodology used to derive volumes: Deflation by survey-based price indexes Formula used to derive volumes: Deflate by GEE-provided deflators. Chain-weighted: No Trade System: General trade Excluded items in trade: In transit;Low valued;Re-exports;Re-imports; Oil coverage: Secondary or refined products;Other; Valuation of exports: Free on board (FOB) Valuation of imports: FOB Primary domestic currency: Mauritian rupee Data last updated: 09/2017</t>
  </si>
  <si>
    <t>Source: National Statistics Office Latest actual data: 2015. Preliminary data Employment type: Harmonized ILO definition Primary domestic currency: Mauritian rupee Data last updated: 09/2017</t>
  </si>
  <si>
    <t>Source: National Statistics Office Latest actual data: 2015 Primary domestic currency: Mauritian rupee Data last updated: 09/2017</t>
  </si>
  <si>
    <t>Source: Ministry of Finance or Treasury Latest actual data: 2015/16 Notes: The overall balance (Central Government net lending and borrowing)  and primary balance series do not include flows from extra-budgetary funds starting in 2007. Fiscal assumptions: Authorities and Staff Calculations Start/end months of reporting year: July/June GFS Manual used: Government Finance Statistics Manual (GFSM) 2001 Basis of recording: Cash. Few non-cash calculations. General government includes: Central Government;Local Government;Nonfinancial Public Corporation; Valuation of public debt: Face value Primary domestic currency: Mauritian rupee Data last updated: 09/2017</t>
  </si>
  <si>
    <t>See notes for:  General government structural balance (National currency).</t>
  </si>
  <si>
    <t>Source: Central Bank Latest actual data: 2016. Preliminary data BOP Manual used: Balance of Payments Manual, fifth edition (BPM5) Primary domestic currency: Mauritian rupee Data last updated: 09/2017</t>
  </si>
  <si>
    <t>Mozambique</t>
  </si>
  <si>
    <t>Source: National Statistics Office. Instituto Nacional de Estadistica (INE). Latest actual data: 2016 Notes: Data prior to 1992 cannot be confirmed by national sources at this time. National accounts manual used: System of National Accounts (SNA) 1993. Authorities have incorporated certain aspects of the 2008 SNA manual. GDP valuation: Market prices Start/end months of reporting year: January/December Base year: 2009 Chain-weighted: No Primary domestic currency: Mozambican metical Data last updated: 09/2017</t>
  </si>
  <si>
    <t>Source: National Statistics Office. Instituto Nacional de Estadistica (INE). Latest actual data: 2016 Harmonized prices: No Frequency of source data: Monthly Base year: 2004. Authorities reported CPI index is December 2016. Primary domestic currency: Mozambican metical Data last updated: 09/2017</t>
  </si>
  <si>
    <t>Source: Central Bank Latest actual data: 2016. Preliminary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09/2017</t>
  </si>
  <si>
    <t>Source: International Financial Institution. Human Development Indicators. Latest actual data: 2015 Notes: Data prior to 1992 cannot be confirmed by national sources at this time. Primary domestic currency: Mozambican metical Data last updated: 09/2017</t>
  </si>
  <si>
    <t>Source: Ministry of Finance or Treasury Latest actual data: 2016 Fiscal assumptions: Fiscal projections assume a moderate increase in revenue/GDP, commensurate increase in domestic primary spending, and accounts for a lower aid flow, with grants contribution declining. These projections have been discussed during the 2009 review missions. Start/end months of reporting year: January/December GFS Manual used: Government Finance Statistics Manual (GFSM) 2001 Basis of recording: Mix accrual and cash basis General government includes: Central Government;State Government; Valuation of public debt: Nominal value. Authorities report on stock of debt on a nominal basis. Data for the DSA are calculated discounting maturities over the relevant period Primary domestic currency: Mozambican metical Data last updated: 09/2017</t>
  </si>
  <si>
    <t>Source: Central Bank. Data provided by Bank de Mozambique (BOM). Latest actual data: 2015. Preliminary Notes: Data prior to 1992 cannot be confirmed by national sources at this time. BOP Manual used: Balance of Payments and International Investment Position Manual, sixth edition (BPM6) Primary domestic currency: Mozambican metical Data last updated: 09/2017</t>
  </si>
  <si>
    <t>Namibia</t>
  </si>
  <si>
    <t>Source: National Statistics Office Latest actual data: 2016 National accounts manual used: System of National Accounts (SNA) 1993 GDP valuation: Market prices Start/end months of reporting year: January/December Base year: 2000 Chain-weighted: No Primary domestic currency: Namibia dollar Data last updated: 08/2017</t>
  </si>
  <si>
    <t>Source: National Statistics Office Latest actual data: 2016 Harmonized prices: No Frequency of source data: Monthly Base year: 2012. December=100 Primary domestic currency: Namibia dollar Data last updated: 08/2017</t>
  </si>
  <si>
    <t>Source: Central Bank Latest actual data: 2015 Base year: 2006 Methodology used to derive volumes: Other Formula used to derive volumes: Other Chain-weighted: No Trade System: General trade Excluded items in trade: Other; Oil coverage: Other; Valuation of exports: Free on board (FOB) Valuation of imports: Other Primary domestic currency: Namibia dollar Data last updated: 08/2017</t>
  </si>
  <si>
    <t>Source: United Nations Latest actual data: 2008. The latest household survey was conducted in 1994. Primary domestic currency: Namibia dollar Data last updated: 08/2017</t>
  </si>
  <si>
    <t>Source: Ministry of Finance or Treasury Latest actual data: 2015/16 Start/end months of reporting year: April/March GFS Manual used: Government Finance Statistics Manual (GFSM) 2001 Basis of recording: Cash General government includes: Central Government;Other; Valuation of public debt: Nominal value Primary domestic currency: Namibia dollar Data last updated: 08/2017</t>
  </si>
  <si>
    <t>Source: Central Bank Latest actual data: 2015 BOP Manual used: Balance of Payments Manual, fifth edition (BPM5) Primary domestic currency: Namibia dollar Data last updated: 08/2017</t>
  </si>
  <si>
    <t>Seychelles</t>
  </si>
  <si>
    <t>Source: National Statistics Office Latest actual data: 2015 National accounts manual used: System of National Accounts (SNA) 1993 GDP valuation: Market prices Start/end months of reporting year: January/December Base year: 2006 Chain-weighted: No Primary domestic currency: Seychelles rupee Data last updated: 09/2017</t>
  </si>
  <si>
    <t>Source: National Statistics Office Latest actual data: 2016 Harmonized prices: No Frequency of source data: Monthly Base year: 2014. Basket based on 2013 Household Budget Survey Primary domestic currency: Seychelles rupee Data last updated: 09/2017</t>
  </si>
  <si>
    <t>Source: Central Bank Latest actual data: 2016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09/2017</t>
  </si>
  <si>
    <t>Source: National Statistics Office Latest actual data: 2015 Employment type: National definition Primary domestic currency: Seychelles rupee Data last updated: 09/2017</t>
  </si>
  <si>
    <t>Source: National Statistics Office Latest actual data: 2015 Primary domestic currency: Seychelles rupee Data last updated: 09/2017</t>
  </si>
  <si>
    <t>Source: Ministry of Finance or Treasury Latest actual data: 2016 Fiscal assumptions: Staff projections Start/end months of reporting year: January/December GFS Manual used: Government Finance Statistics Manual (GFSM) 1986. Change in presentation to reflect 2011 Budget classification and transition to GFS2001. Data prior to 2007 may not add up due to breaks in the GFS1986/2001 coverage. Basis of recording: Cash General government includes: Central Government;Social Security Funds;. Change in coverage of general government as of 2011 Budget and incorporation of budget dependent entities Valuation of public debt: Nominal value. Book value Primary domestic currency: Seychelles rupee Data last updated: 09/2017</t>
  </si>
  <si>
    <t>Source: Central Bank Latest actual data: 2016 BOP Manual used: Balance of Payments and International Investment Position Manual, sixth edition (BPM6) Primary domestic currency: Seychelles rupee Data last updated: 09/2017</t>
  </si>
  <si>
    <t>Source: Central Bank Latest actual data: 2016 National accounts manual used: System of National Accounts (SNA) 1993 GDP valuation: Market prices Start/end months of reporting year: January/December Base year: 2010 Chain-weighted: No Primary domestic currency: South African rand Data last updated: 08/2017</t>
  </si>
  <si>
    <t>Source: National Statistics Office Latest actual data: 2016 Harmonized prices: No Frequency of source data: Monthly Base year: 2016. CPI basket has been updated and rebased at Dec-2016=100 Primary domestic currency: South African rand Data last updated: 08/2017</t>
  </si>
  <si>
    <t>Source: Central Bank Latest actual data: 2016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08/2017</t>
  </si>
  <si>
    <t>Source: National Statistics Office Latest actual data: 2016 Employment type: National definition Primary domestic currency: South African rand Data last updated: 08/2017</t>
  </si>
  <si>
    <t>Source: IFS until 2000, then National Statistics Office from 2002. Latest actual data: 2016 Primary domestic currency: South African rand Data last updated: 08/2017</t>
  </si>
  <si>
    <t>Source: Ministry of Finance or Treasury Latest actual data: 2016 Notes: Gross debt does not include other accounts payable and refers to Central Government debt only. Net debt is calculated as gross debt minus government deposits. Fiscal assumptions: Fiscal projections are based on the authorities? 2017 Budget Review. Start/end months of reporting year: January/December GFS Manual used: Government Finance Statistics Manual (GFSM) 2001 Basis of recording: Cash General government includes: Central Government;State Government;Social Security Funds; Valuation of public debt: Nominal value Primary domestic currency: South African rand Data last updated: 08/2017</t>
  </si>
  <si>
    <t>Source: Central Bank Latest actual data: 2016 BOP Manual used: Balance of Payments and International Investment Position Manual, sixth edition (BPM6) Primary domestic currency: South African rand Data last updated: 08/2017</t>
  </si>
  <si>
    <t>Swaziland</t>
  </si>
  <si>
    <t>Source: National Statistics Office Latest actual data: 2015 National accounts manual used: System of National Accounts (SNA) 1993 GDP valuation: Market prices Start/end months of reporting year: January/December Base year: 2011 Chain-weighted: No Primary domestic currency: Swaziland lilangeni Data last updated: 08/2017</t>
  </si>
  <si>
    <t>Source: National Statistics Office. For data prior to 1998, the source is the International Financial Statistics - IFS. Latest actual data: 2016 Harmonized prices: No Frequency of source data: Monthly Base year: 2000. December=100 Primary domestic currency: Swaziland lilangeni Data last updated: 08/2017</t>
  </si>
  <si>
    <t>Source: Central Bank Latest actual data: 2016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Swaziland lilangeni Data last updated: 08/2017</t>
  </si>
  <si>
    <t>Source: National Statistics Office Latest actual data: 2016 Primary domestic currency: Swaziland lilangeni Data last updated: 08/2017</t>
  </si>
  <si>
    <t>Source: Ministry of Finance or Treasury Latest actual data: 2016/17 Start/end months of reporting year: April/March GFS Manual used: Government Finance Statistics Manual (GFSM) 2001 Basis of recording: Accrual General government includes: Central Government; Valuation of public debt: Nominal value Primary domestic currency: Swaziland lilangeni Data last updated: 08/2017</t>
  </si>
  <si>
    <t>Source: Central Bank Latest actual data: 2016. 2015 actual data available for only main aggregates: Current account, Exports, Imports, Capital and Financial account. BOP Manual used: Balance of Payments and International Investment Position Manual, sixth edition (BPM6) Primary domestic currency: Swaziland lilangeni Data last updated: 08/2017</t>
  </si>
  <si>
    <t>Source: National Statistics Office Latest actual data: 2016 National accounts manual used: System of National Accounts (SNA) 1993 GDP valuation: Market prices Start/end months of reporting year: January/December Base year: 2007 Chain-weighted: No Primary domestic currency: Tanzania shilling Data last updated: 08/2017</t>
  </si>
  <si>
    <t>Source: National Statistics Office Latest actual data: 2016 Harmonized prices: No Frequency of source data: Monthly Base year: 2011/12 Primary domestic currency: Tanzania shilling Data last updated: 08/2017</t>
  </si>
  <si>
    <t>Source: Central Bank Latest actual data: 2015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 shilling Data last updated: 08/2017</t>
  </si>
  <si>
    <t>Source: National Statistics Office Latest actual data: 2012 Primary domestic currency: Tanzania shilling Data last updated: 08/2017</t>
  </si>
  <si>
    <t>Source: Ministry of Finance or Treasury Latest actual data: 2015 Start/end months of reporting year: January/December GFS Manual used: Government Finance Statistics Manual (GFSM) 1986 Basis of recording: Cash General government includes: Central Government;Local Government Primary domestic currency: Tanzania shilling Data last updated: 08/2017</t>
  </si>
  <si>
    <t>Source: Central Bank Latest actual data: 2015 BOP Manual used: Balance of Payments Manual, fifth edition (BPM5) Primary domestic currency: Tanzania shilling Data last updated: 08/2017</t>
  </si>
  <si>
    <t>Source: National Statistics Office Latest actual data: 2015 National accounts manual used: System of National Accounts (SNA) 1993 GDP valuation: Market prices Start/end months of reporting year: January/December Base year: 2010 Chain-weighted: No Primary domestic currency: Zambian kwacha Data last updated: 09/2017</t>
  </si>
  <si>
    <t>Source: National Statistics Office Latest actual data: 2016 Harmonized prices: No Frequency of source data: Monthly Base year: 1994. A new CPI series with updated weights based on the latest household budget survey was started in February 2012. Combining two baskets within the same series and in effect 1994 is still the base year though the basket was revised starting 2010 Primary domestic currency: Zambian kwacha Data last updated: 09/2017</t>
  </si>
  <si>
    <t>Source: Central Bank. Values from BOP, volumes and prices are staff estimates. Latest actual data: 2016. Values from BOP, volumes and prices are staff estimates. Base year: 2005 Methodology used to derive volumes: Other Chain-weighted: No Valuation of exports: Free on board (FOB) Valuation of imports: FOB. BoP data. Primary domestic currency: Zambian kwacha Data last updated: 09/2017</t>
  </si>
  <si>
    <t>Source: International Financial Institution Latest actual data: 2010 Primary domestic currency: Zambian kwacha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</si>
  <si>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 Valuation of public debt: Current market value Primary domestic currency: Zambian kwacha Data last updated: 09/2017</t>
  </si>
  <si>
    <t>Source: Central Bank Latest actual data: 2016 BOP Manual used: Balance of Payments and International Investment Position Manual, sixth edition (BPM6) Primary domestic currency: Zambian kwacha Data last updated: 09/2017</t>
  </si>
  <si>
    <t>Zimbabwe</t>
  </si>
  <si>
    <t>Source: National Statistics Office Latest actual data: 2013. Data before 2009 are unreliable Notes: The Zimbabwe dollar ceased circulating in early 2009. Data are based on staff estimates of price and exchange rate developments in U.S. dollars. GDP valuation: Market prices Start/end months of reporting year: January/December Base year: 2009 Chain-weighted: No Primary domestic currency: U.S. dollar Data last updated: 09/2017</t>
  </si>
  <si>
    <t>Source: National Statistics Office Latest actual data: 2016 Notes: The National Statiscs Office started publishing U.S. dollar CPI in January 2009. The original Zimbabwe dollar series that has been converted to U.S. dollars ends in July 2008. Harmonized prices: No Frequency of source data: Monthly Base year: 2012 Primary domestic currency: U.S. dollar Data last updated: 09/2017</t>
  </si>
  <si>
    <t>Source: Other Latest actual data: 2015. structural break in 2010 due to a shift in the data source from exchange control data to customs data for trade statistics Excluded items in trade: In transit;Re-exports;Re-imports Primary domestic currency: U.S. dollar Data last updated: 09/2017</t>
  </si>
  <si>
    <t>Source: National Statistics Office Latest actual data: 2012 Notes: From 2001, data are unreliable. Primary domestic currency: U.S. dollar Data last updated: 09/2017</t>
  </si>
  <si>
    <t>Source: Ministry of Finance or Treasury Latest actual data: 2014 Notes: Fiscal data prior to 2009 are not reliable. Start/end months of reporting year: January/December GFS Manual used: Government Finance Statistics Manual (GFSM) 1986 Basis of recording: Cash General government includes: Central Government; Valuation of public debt: Current market value. In U.S. dollars Primary domestic currency: U.S. dollar Data last updated: 09/2017</t>
  </si>
  <si>
    <t>Source: Reserve Bank of Zimbabwe and Ministry of Finance. Latest actual data: 2013. Structural break in 2010 due to a shift in the data source from exchange control data to customs data for trade statistics BOP Manual used: Balance of Payments Manual, fourth edition (BPM4) Primary domestic currency: U.S. dollar Data last updated: 09/2017</t>
  </si>
  <si>
    <t>International Monetary Fund, World Economic Outlook Database, October 2017</t>
  </si>
  <si>
    <t>curr_acc</t>
  </si>
  <si>
    <t>exch_rate</t>
  </si>
  <si>
    <t>x_port</t>
  </si>
  <si>
    <t>m_port</t>
  </si>
  <si>
    <t>tax_rev</t>
  </si>
  <si>
    <t>fiscal_bal</t>
  </si>
  <si>
    <t>credit_govt</t>
  </si>
  <si>
    <t>credit_pvt</t>
  </si>
  <si>
    <t>gdpgrow</t>
  </si>
  <si>
    <t>gdppc_grow</t>
  </si>
  <si>
    <t>i_lend</t>
  </si>
  <si>
    <t>i_dep</t>
  </si>
  <si>
    <t>i_spread</t>
  </si>
  <si>
    <t>nim</t>
  </si>
  <si>
    <t>credit_depo</t>
  </si>
  <si>
    <t>roa</t>
  </si>
  <si>
    <t>roe</t>
  </si>
  <si>
    <t>deposit_gdp</t>
  </si>
  <si>
    <t>liq_assets_dep</t>
  </si>
  <si>
    <t>liq_reser_assets</t>
  </si>
  <si>
    <t>liq-liab</t>
  </si>
  <si>
    <t>govt_rev</t>
  </si>
  <si>
    <t>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</si>
</sst>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8" x14ac:knownFonts="1">
    <font>
      <sz val="11"/>
      <color theme="1"/>
      <name val="Calibri"/>
      <family val="2"/>
      <scheme val="minor"/>
    </font>
    <font>
      <sz val="11"/>
      <color theme="1"/>
      <name val="Calibri"/>
      <family val="2"/>
      <scheme val="minor"/>
    </font>
    <font>
      <sz val="8"/>
      <name val="Arial"/>
      <family val="2"/>
    </font>
    <font>
      <sz val="11"/>
      <name val="Calibri"/>
      <family val="2"/>
      <scheme val="minor"/>
    </font>
    <font>
      <sz val="11"/>
      <color indexed="8"/>
      <name val="Calibri"/>
      <family val="2"/>
      <scheme val="minor"/>
    </font>
    <font>
      <sz val="10"/>
      <name val="Calibri"/>
      <family val="2"/>
      <scheme val="minor"/>
    </font>
    <font>
      <sz val="12"/>
      <name val="Calibri"/>
      <family val="2"/>
      <scheme val="minor"/>
    </font>
    <font>
      <sz val="11"/>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6">
    <xf numFmtId="0" fontId="0" fillId="0" borderId="0" xfId="0"/>
    <xf numFmtId="0" fontId="0" fillId="0" borderId="1" xfId="0" applyFont="1" applyBorder="1"/>
    <xf numFmtId="164" fontId="0" fillId="2" borderId="1" xfId="1" applyFont="1" applyFill="1" applyBorder="1"/>
    <xf numFmtId="164" fontId="0" fillId="2" borderId="1" xfId="1" applyFont="1" applyFill="1" applyBorder="1" applyAlignment="1"/>
    <xf numFmtId="0" fontId="0" fillId="2" borderId="1" xfId="1" applyNumberFormat="1" applyFont="1" applyFill="1" applyBorder="1" applyAlignment="1"/>
    <xf numFmtId="164" fontId="0" fillId="2" borderId="1" xfId="1" applyFont="1" applyFill="1" applyBorder="1" applyAlignment="1">
      <alignment horizontal="left"/>
    </xf>
    <xf numFmtId="0" fontId="0" fillId="2" borderId="0" xfId="1" applyNumberFormat="1" applyFont="1" applyFill="1" applyAlignment="1"/>
    <xf numFmtId="0" fontId="0" fillId="0" borderId="0" xfId="0" applyFont="1"/>
    <xf numFmtId="164" fontId="0" fillId="2" borderId="0" xfId="1" applyFont="1" applyFill="1"/>
    <xf numFmtId="164" fontId="0" fillId="2" borderId="0" xfId="1" applyFont="1" applyFill="1" applyAlignment="1"/>
    <xf numFmtId="164" fontId="0" fillId="0" borderId="0" xfId="1" applyFont="1"/>
    <xf numFmtId="0" fontId="0" fillId="3" borderId="0" xfId="0" applyFont="1" applyFill="1"/>
    <xf numFmtId="0" fontId="0" fillId="2" borderId="0" xfId="0" applyFont="1" applyFill="1"/>
    <xf numFmtId="0" fontId="0" fillId="2" borderId="0" xfId="0" applyFont="1" applyFill="1" applyAlignment="1">
      <alignment horizontal="center"/>
    </xf>
    <xf numFmtId="0" fontId="3" fillId="2" borderId="0" xfId="0" applyFont="1" applyFill="1" applyAlignment="1">
      <alignment horizontal="center"/>
    </xf>
    <xf numFmtId="2" fontId="0" fillId="2" borderId="0" xfId="1" applyNumberFormat="1" applyFont="1" applyFill="1" applyAlignment="1"/>
    <xf numFmtId="2" fontId="0" fillId="2" borderId="0" xfId="1" applyNumberFormat="1" applyFont="1" applyFill="1"/>
    <xf numFmtId="2" fontId="3" fillId="2" borderId="0" xfId="1" applyNumberFormat="1" applyFont="1" applyFill="1" applyAlignment="1"/>
    <xf numFmtId="2" fontId="0" fillId="2" borderId="0" xfId="1" applyNumberFormat="1" applyFont="1" applyFill="1" applyBorder="1" applyAlignment="1"/>
    <xf numFmtId="0" fontId="0" fillId="2" borderId="1" xfId="0" applyFont="1" applyFill="1" applyBorder="1"/>
    <xf numFmtId="0" fontId="0" fillId="2" borderId="1" xfId="0" applyFont="1" applyFill="1" applyBorder="1" applyAlignment="1">
      <alignment horizontal="center"/>
    </xf>
    <xf numFmtId="2" fontId="0" fillId="2" borderId="0" xfId="0" applyNumberFormat="1" applyFill="1" applyAlignment="1"/>
    <xf numFmtId="2" fontId="0" fillId="2" borderId="0" xfId="0" applyNumberFormat="1" applyFont="1" applyFill="1"/>
    <xf numFmtId="2" fontId="4" fillId="2" borderId="0" xfId="1" applyNumberFormat="1" applyFont="1" applyFill="1"/>
    <xf numFmtId="2" fontId="4" fillId="2" borderId="0" xfId="1" applyNumberFormat="1" applyFont="1" applyFill="1" applyBorder="1"/>
    <xf numFmtId="2" fontId="5" fillId="2" borderId="0" xfId="1" applyNumberFormat="1" applyFont="1" applyFill="1"/>
    <xf numFmtId="2" fontId="6" fillId="2" borderId="0" xfId="1" applyNumberFormat="1" applyFont="1" applyFill="1" applyProtection="1"/>
    <xf numFmtId="4" fontId="0" fillId="0" borderId="0" xfId="0" applyNumberFormat="1"/>
    <xf numFmtId="0" fontId="0" fillId="3" borderId="0" xfId="0" applyFill="1"/>
    <xf numFmtId="0" fontId="7" fillId="0" borderId="0" xfId="0" applyFont="1"/>
    <xf numFmtId="2" fontId="2" fillId="2" borderId="0" xfId="0" applyNumberFormat="1" applyFont="1" applyFill="1" applyBorder="1" applyAlignment="1" applyProtection="1">
      <alignment horizontal="right" vertical="top" wrapText="1"/>
      <protection locked="0"/>
    </xf>
    <xf numFmtId="2" fontId="0" fillId="2" borderId="0" xfId="1" applyNumberFormat="1" applyFont="1" applyFill="1" applyAlignment="1">
      <alignment horizontal="center"/>
    </xf>
    <xf numFmtId="2" fontId="0" fillId="0" borderId="0" xfId="0" applyNumberFormat="1"/>
    <xf numFmtId="2" fontId="5" fillId="2" borderId="0" xfId="1" applyNumberFormat="1" applyFont="1" applyFill="1" applyBorder="1"/>
    <xf numFmtId="2" fontId="0" fillId="2" borderId="0" xfId="1" applyNumberFormat="1" applyFont="1" applyFill="1" applyBorder="1"/>
    <xf numFmtId="2" fontId="0" fillId="0" borderId="0" xfId="1" applyNumberFormat="1"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724"/>
  <sheetViews>
    <sheetView workbookViewId="0">
      <pane xSplit="2" ySplit="2" topLeftCell="U650" activePane="bottomRight" state="frozen"/>
      <selection pane="topRight" activeCell="C1" sqref="C1"/>
      <selection pane="bottomLeft" activeCell="A3" sqref="A3"/>
      <selection pane="bottomRight" activeCell="AA664" sqref="AA664"/>
    </sheetView>
  </sheetViews>
  <sheetFormatPr defaultRowHeight="14.5" x14ac:dyDescent="0.35"/>
  <cols>
    <col min="1" max="1" width="12.1796875" customWidth="1"/>
    <col min="2" max="2" width="77.7265625" bestFit="1" customWidth="1"/>
    <col min="3" max="3" width="15" customWidth="1"/>
    <col min="7" max="7" width="12.7265625" customWidth="1"/>
    <col min="8" max="21" width="9.1796875" customWidth="1"/>
    <col min="32" max="32" width="10.1796875" bestFit="1" customWidth="1"/>
  </cols>
  <sheetData>
    <row r="1" spans="1:49" x14ac:dyDescent="0.35">
      <c r="G1">
        <v>1</v>
      </c>
      <c r="H1">
        <v>2</v>
      </c>
      <c r="I1">
        <v>3</v>
      </c>
      <c r="J1">
        <v>4</v>
      </c>
      <c r="K1">
        <v>5</v>
      </c>
      <c r="L1">
        <v>6</v>
      </c>
      <c r="M1">
        <v>7</v>
      </c>
      <c r="N1">
        <v>8</v>
      </c>
      <c r="O1">
        <v>9</v>
      </c>
      <c r="P1">
        <v>10</v>
      </c>
      <c r="Q1">
        <v>11</v>
      </c>
      <c r="R1">
        <v>12</v>
      </c>
      <c r="S1">
        <v>13</v>
      </c>
      <c r="T1">
        <v>14</v>
      </c>
      <c r="U1">
        <v>15</v>
      </c>
      <c r="V1">
        <v>16</v>
      </c>
      <c r="W1">
        <v>17</v>
      </c>
      <c r="X1">
        <v>18</v>
      </c>
      <c r="Y1">
        <v>19</v>
      </c>
      <c r="Z1">
        <v>20</v>
      </c>
      <c r="AA1">
        <v>21</v>
      </c>
      <c r="AB1">
        <v>22</v>
      </c>
      <c r="AC1">
        <v>23</v>
      </c>
      <c r="AD1">
        <v>24</v>
      </c>
      <c r="AE1">
        <v>25</v>
      </c>
      <c r="AF1">
        <v>26</v>
      </c>
      <c r="AG1">
        <v>27</v>
      </c>
      <c r="AH1">
        <v>28</v>
      </c>
      <c r="AI1">
        <v>29</v>
      </c>
      <c r="AJ1">
        <v>30</v>
      </c>
      <c r="AK1">
        <v>31</v>
      </c>
      <c r="AL1">
        <v>32</v>
      </c>
      <c r="AM1">
        <v>33</v>
      </c>
      <c r="AN1">
        <v>34</v>
      </c>
      <c r="AO1">
        <v>35</v>
      </c>
      <c r="AP1">
        <v>36</v>
      </c>
      <c r="AQ1">
        <v>37</v>
      </c>
      <c r="AR1">
        <v>38</v>
      </c>
      <c r="AS1">
        <v>39</v>
      </c>
      <c r="AT1">
        <v>40</v>
      </c>
      <c r="AU1">
        <v>41</v>
      </c>
      <c r="AV1">
        <v>42</v>
      </c>
      <c r="AW1">
        <v>43</v>
      </c>
    </row>
    <row r="2" spans="1:49" x14ac:dyDescent="0.35">
      <c r="A2" t="s">
        <v>23</v>
      </c>
      <c r="B2" t="s">
        <v>24</v>
      </c>
      <c r="C2" t="s">
        <v>25</v>
      </c>
      <c r="D2" t="s">
        <v>26</v>
      </c>
      <c r="E2" t="s">
        <v>27</v>
      </c>
      <c r="F2" t="s">
        <v>28</v>
      </c>
      <c r="G2">
        <v>1980</v>
      </c>
      <c r="H2">
        <v>1981</v>
      </c>
      <c r="I2">
        <v>1982</v>
      </c>
      <c r="J2">
        <v>1983</v>
      </c>
      <c r="K2">
        <v>1984</v>
      </c>
      <c r="L2">
        <v>1985</v>
      </c>
      <c r="M2">
        <v>1986</v>
      </c>
      <c r="N2">
        <v>1987</v>
      </c>
      <c r="O2">
        <v>1988</v>
      </c>
      <c r="P2">
        <v>1989</v>
      </c>
      <c r="Q2">
        <v>1990</v>
      </c>
      <c r="R2">
        <v>1991</v>
      </c>
      <c r="S2">
        <v>1992</v>
      </c>
      <c r="T2">
        <v>1993</v>
      </c>
      <c r="U2">
        <v>1994</v>
      </c>
      <c r="V2">
        <v>1995</v>
      </c>
      <c r="W2">
        <v>1996</v>
      </c>
      <c r="X2">
        <v>1997</v>
      </c>
      <c r="Y2">
        <v>1998</v>
      </c>
      <c r="Z2">
        <v>1999</v>
      </c>
      <c r="AA2">
        <v>2000</v>
      </c>
      <c r="AB2">
        <v>2001</v>
      </c>
      <c r="AC2">
        <v>2002</v>
      </c>
      <c r="AD2">
        <v>2003</v>
      </c>
      <c r="AE2">
        <v>2004</v>
      </c>
      <c r="AF2">
        <v>2005</v>
      </c>
      <c r="AG2">
        <v>2006</v>
      </c>
      <c r="AH2">
        <v>2007</v>
      </c>
      <c r="AI2">
        <v>2008</v>
      </c>
      <c r="AJ2">
        <v>2009</v>
      </c>
      <c r="AK2">
        <v>2010</v>
      </c>
      <c r="AL2">
        <v>2011</v>
      </c>
      <c r="AM2">
        <v>2012</v>
      </c>
      <c r="AN2">
        <v>2013</v>
      </c>
      <c r="AO2">
        <v>2014</v>
      </c>
      <c r="AP2">
        <v>2015</v>
      </c>
      <c r="AQ2">
        <v>2016</v>
      </c>
      <c r="AR2">
        <v>2017</v>
      </c>
      <c r="AS2">
        <v>2018</v>
      </c>
      <c r="AT2">
        <v>2019</v>
      </c>
      <c r="AU2">
        <v>2020</v>
      </c>
      <c r="AV2">
        <v>2021</v>
      </c>
      <c r="AW2">
        <v>2022</v>
      </c>
    </row>
    <row r="3" spans="1:49" x14ac:dyDescent="0.35">
      <c r="A3" t="s">
        <v>5</v>
      </c>
      <c r="B3" t="s">
        <v>29</v>
      </c>
      <c r="C3" t="s">
        <v>30</v>
      </c>
      <c r="D3" t="s">
        <v>31</v>
      </c>
      <c r="E3" t="s">
        <v>32</v>
      </c>
      <c r="F3" t="s">
        <v>33</v>
      </c>
      <c r="G3">
        <v>338.37700000000001</v>
      </c>
      <c r="H3">
        <v>323.488</v>
      </c>
      <c r="I3">
        <v>323.488</v>
      </c>
      <c r="J3">
        <v>337.07499999999999</v>
      </c>
      <c r="K3">
        <v>357.29899999999998</v>
      </c>
      <c r="L3">
        <v>369.80500000000001</v>
      </c>
      <c r="M3">
        <v>380.529</v>
      </c>
      <c r="N3">
        <v>396.065</v>
      </c>
      <c r="O3">
        <v>420.339</v>
      </c>
      <c r="P3">
        <v>420.51400000000001</v>
      </c>
      <c r="Q3">
        <v>406.00599999999997</v>
      </c>
      <c r="R3">
        <v>410.03100000000001</v>
      </c>
      <c r="S3">
        <v>386.09199999999998</v>
      </c>
      <c r="T3">
        <v>293.49400000000003</v>
      </c>
      <c r="U3">
        <v>297.42500000000001</v>
      </c>
      <c r="V3">
        <v>342.03899999999999</v>
      </c>
      <c r="W3">
        <v>388.36599999999999</v>
      </c>
      <c r="X3">
        <v>416.61700000000002</v>
      </c>
      <c r="Y3">
        <v>436.161</v>
      </c>
      <c r="Z3">
        <v>445.67599999999999</v>
      </c>
      <c r="AA3">
        <v>459.28899999999999</v>
      </c>
      <c r="AB3">
        <v>478.60700000000003</v>
      </c>
      <c r="AC3">
        <v>544.01199999999994</v>
      </c>
      <c r="AD3">
        <v>572.55899999999997</v>
      </c>
      <c r="AE3">
        <v>634.851</v>
      </c>
      <c r="AF3">
        <v>750.78399999999999</v>
      </c>
      <c r="AG3">
        <v>906.46</v>
      </c>
      <c r="AH3" s="27">
        <v>1111.26</v>
      </c>
      <c r="AI3" s="27">
        <v>1264.8</v>
      </c>
      <c r="AJ3" s="27">
        <v>1295.32</v>
      </c>
      <c r="AK3" s="27">
        <v>1339.46</v>
      </c>
      <c r="AL3" s="27">
        <v>1391.95</v>
      </c>
      <c r="AM3" s="27">
        <v>1463.71</v>
      </c>
      <c r="AN3" s="27">
        <v>1563.44</v>
      </c>
      <c r="AO3" s="27">
        <v>1638.55</v>
      </c>
      <c r="AP3" s="27">
        <v>1687.83</v>
      </c>
      <c r="AQ3" s="27">
        <v>1676.6</v>
      </c>
      <c r="AR3" s="27">
        <v>1701.34</v>
      </c>
      <c r="AS3" s="27">
        <v>1727.76</v>
      </c>
      <c r="AT3" s="27">
        <v>1751.92</v>
      </c>
      <c r="AU3" s="27">
        <v>1778.46</v>
      </c>
      <c r="AV3" s="27">
        <v>1802.65</v>
      </c>
      <c r="AW3" s="27">
        <v>1828.47</v>
      </c>
    </row>
    <row r="4" spans="1:49" x14ac:dyDescent="0.35">
      <c r="A4" t="s">
        <v>5</v>
      </c>
      <c r="B4" t="s">
        <v>29</v>
      </c>
      <c r="C4" t="s">
        <v>34</v>
      </c>
      <c r="D4" t="s">
        <v>35</v>
      </c>
      <c r="F4" t="s">
        <v>36</v>
      </c>
      <c r="G4">
        <v>2.4060000000000001</v>
      </c>
      <c r="H4">
        <v>-4.4000000000000004</v>
      </c>
      <c r="I4">
        <v>0</v>
      </c>
      <c r="J4">
        <v>4.2</v>
      </c>
      <c r="K4">
        <v>6</v>
      </c>
      <c r="L4">
        <v>3.5</v>
      </c>
      <c r="M4">
        <v>2.9</v>
      </c>
      <c r="N4">
        <v>4.0830000000000002</v>
      </c>
      <c r="O4">
        <v>6.1289999999999996</v>
      </c>
      <c r="P4">
        <v>4.2000000000000003E-2</v>
      </c>
      <c r="Q4">
        <v>-3.45</v>
      </c>
      <c r="R4">
        <v>0.99099999999999999</v>
      </c>
      <c r="S4">
        <v>-5.8380000000000001</v>
      </c>
      <c r="T4">
        <v>-23.983000000000001</v>
      </c>
      <c r="U4">
        <v>1.339</v>
      </c>
      <c r="V4">
        <v>15</v>
      </c>
      <c r="W4">
        <v>13.544</v>
      </c>
      <c r="X4">
        <v>7.274</v>
      </c>
      <c r="Y4">
        <v>4.6909999999999998</v>
      </c>
      <c r="Z4">
        <v>2.181</v>
      </c>
      <c r="AA4">
        <v>3.0550000000000002</v>
      </c>
      <c r="AB4">
        <v>4.2060000000000004</v>
      </c>
      <c r="AC4">
        <v>13.666</v>
      </c>
      <c r="AD4">
        <v>5.2480000000000002</v>
      </c>
      <c r="AE4">
        <v>10.879</v>
      </c>
      <c r="AF4">
        <v>18.262</v>
      </c>
      <c r="AG4">
        <v>20.734999999999999</v>
      </c>
      <c r="AH4">
        <v>22.593</v>
      </c>
      <c r="AI4">
        <v>13.817</v>
      </c>
      <c r="AJ4">
        <v>2.4129999999999998</v>
      </c>
      <c r="AK4">
        <v>3.4079999999999999</v>
      </c>
      <c r="AL4">
        <v>3.919</v>
      </c>
      <c r="AM4">
        <v>5.1550000000000002</v>
      </c>
      <c r="AN4">
        <v>6.8140000000000001</v>
      </c>
      <c r="AO4">
        <v>4.8040000000000003</v>
      </c>
      <c r="AP4">
        <v>3.0070000000000001</v>
      </c>
      <c r="AQ4">
        <v>-0.66500000000000004</v>
      </c>
      <c r="AR4">
        <v>1.476</v>
      </c>
      <c r="AS4">
        <v>1.5529999999999999</v>
      </c>
      <c r="AT4">
        <v>1.3979999999999999</v>
      </c>
      <c r="AU4">
        <v>1.5149999999999999</v>
      </c>
      <c r="AV4">
        <v>1.36</v>
      </c>
      <c r="AW4">
        <v>1.4319999999999999</v>
      </c>
    </row>
    <row r="5" spans="1:49" x14ac:dyDescent="0.35">
      <c r="A5" t="s">
        <v>5</v>
      </c>
      <c r="B5" t="s">
        <v>37</v>
      </c>
      <c r="C5" t="s">
        <v>38</v>
      </c>
      <c r="D5" t="s">
        <v>31</v>
      </c>
      <c r="E5" t="s">
        <v>32</v>
      </c>
      <c r="F5" t="s">
        <v>33</v>
      </c>
      <c r="G5" t="s">
        <v>39</v>
      </c>
      <c r="H5" t="s">
        <v>39</v>
      </c>
      <c r="I5" t="s">
        <v>39</v>
      </c>
      <c r="J5" t="s">
        <v>39</v>
      </c>
      <c r="K5" t="s">
        <v>39</v>
      </c>
      <c r="L5" t="s">
        <v>39</v>
      </c>
      <c r="M5" t="s">
        <v>39</v>
      </c>
      <c r="N5" t="s">
        <v>39</v>
      </c>
      <c r="O5" t="s">
        <v>39</v>
      </c>
      <c r="P5" t="s">
        <v>39</v>
      </c>
      <c r="Q5" t="s">
        <v>39</v>
      </c>
      <c r="R5" t="s">
        <v>39</v>
      </c>
      <c r="S5" t="s">
        <v>39</v>
      </c>
      <c r="T5" t="s">
        <v>39</v>
      </c>
      <c r="U5">
        <v>1E-3</v>
      </c>
      <c r="V5">
        <v>1.4999999999999999E-2</v>
      </c>
      <c r="W5">
        <v>0.83499999999999996</v>
      </c>
      <c r="X5">
        <v>1.752</v>
      </c>
      <c r="Y5">
        <v>2.556</v>
      </c>
      <c r="Z5">
        <v>17.170999999999999</v>
      </c>
      <c r="AA5">
        <v>91.665999999999997</v>
      </c>
      <c r="AB5">
        <v>197.11099999999999</v>
      </c>
      <c r="AC5">
        <v>544.01199999999994</v>
      </c>
      <c r="AD5" s="27">
        <v>1058.5899999999999</v>
      </c>
      <c r="AE5" s="27">
        <v>1640.82</v>
      </c>
      <c r="AF5" s="27">
        <v>2460.83</v>
      </c>
      <c r="AG5" s="27">
        <v>3358.54</v>
      </c>
      <c r="AH5" s="27">
        <v>4636.8</v>
      </c>
      <c r="AI5" s="27">
        <v>6316.16</v>
      </c>
      <c r="AJ5" s="27">
        <v>5988.68</v>
      </c>
      <c r="AK5" s="27">
        <v>7579.55</v>
      </c>
      <c r="AL5" s="27">
        <v>9780.1</v>
      </c>
      <c r="AM5" s="27">
        <v>11011.43</v>
      </c>
      <c r="AN5" s="27">
        <v>12056.3</v>
      </c>
      <c r="AO5" s="27">
        <v>12462.47</v>
      </c>
      <c r="AP5" s="27">
        <v>12321.46</v>
      </c>
      <c r="AQ5" s="27">
        <v>15595.71</v>
      </c>
      <c r="AR5" s="27">
        <v>20575.46</v>
      </c>
      <c r="AS5" s="27">
        <v>24660.1</v>
      </c>
      <c r="AT5" s="27">
        <v>28534.3</v>
      </c>
      <c r="AU5" s="27">
        <v>32834.61</v>
      </c>
      <c r="AV5" s="27">
        <v>37013.81</v>
      </c>
      <c r="AW5" s="27">
        <v>41311.89</v>
      </c>
    </row>
    <row r="6" spans="1:49" x14ac:dyDescent="0.35">
      <c r="A6" t="s">
        <v>5</v>
      </c>
      <c r="B6" t="s">
        <v>37</v>
      </c>
      <c r="C6" t="s">
        <v>40</v>
      </c>
      <c r="D6" t="s">
        <v>41</v>
      </c>
      <c r="E6" t="s">
        <v>32</v>
      </c>
      <c r="F6" t="s">
        <v>42</v>
      </c>
      <c r="G6">
        <v>5.9340000000000002</v>
      </c>
      <c r="H6">
        <v>5.5540000000000003</v>
      </c>
      <c r="I6">
        <v>5.5540000000000003</v>
      </c>
      <c r="J6">
        <v>5.7880000000000003</v>
      </c>
      <c r="K6">
        <v>6.1349999999999998</v>
      </c>
      <c r="L6">
        <v>7.5590000000000002</v>
      </c>
      <c r="M6">
        <v>7.077</v>
      </c>
      <c r="N6">
        <v>8.0890000000000004</v>
      </c>
      <c r="O6">
        <v>8.7750000000000004</v>
      </c>
      <c r="P6">
        <v>10.208</v>
      </c>
      <c r="Q6">
        <v>11.236000000000001</v>
      </c>
      <c r="R6">
        <v>10.891</v>
      </c>
      <c r="S6">
        <v>8.3979999999999997</v>
      </c>
      <c r="T6">
        <v>6.0949999999999998</v>
      </c>
      <c r="U6">
        <v>4.4379999999999997</v>
      </c>
      <c r="V6">
        <v>5.5389999999999997</v>
      </c>
      <c r="W6">
        <v>6.5350000000000001</v>
      </c>
      <c r="X6">
        <v>7.6749999999999998</v>
      </c>
      <c r="Y6">
        <v>6.5060000000000002</v>
      </c>
      <c r="Z6">
        <v>6.1529999999999996</v>
      </c>
      <c r="AA6">
        <v>9.1300000000000008</v>
      </c>
      <c r="AB6">
        <v>8.9359999999999999</v>
      </c>
      <c r="AC6">
        <v>12.497</v>
      </c>
      <c r="AD6">
        <v>14.189</v>
      </c>
      <c r="AE6">
        <v>19.640999999999998</v>
      </c>
      <c r="AF6">
        <v>28.234000000000002</v>
      </c>
      <c r="AG6">
        <v>41.789000000000001</v>
      </c>
      <c r="AH6">
        <v>60.448999999999998</v>
      </c>
      <c r="AI6">
        <v>84.177999999999997</v>
      </c>
      <c r="AJ6">
        <v>75.492000000000004</v>
      </c>
      <c r="AK6">
        <v>82.471000000000004</v>
      </c>
      <c r="AL6">
        <v>104.116</v>
      </c>
      <c r="AM6">
        <v>115.342</v>
      </c>
      <c r="AN6">
        <v>124.91200000000001</v>
      </c>
      <c r="AO6">
        <v>126.777</v>
      </c>
      <c r="AP6">
        <v>102.962</v>
      </c>
      <c r="AQ6">
        <v>95.334999999999994</v>
      </c>
      <c r="AR6">
        <v>124.03400000000001</v>
      </c>
      <c r="AS6">
        <v>138.238</v>
      </c>
      <c r="AT6">
        <v>140.28100000000001</v>
      </c>
      <c r="AU6">
        <v>145.161</v>
      </c>
      <c r="AV6">
        <v>150.37899999999999</v>
      </c>
      <c r="AW6">
        <v>154.46199999999999</v>
      </c>
    </row>
    <row r="7" spans="1:49" x14ac:dyDescent="0.35">
      <c r="A7" t="s">
        <v>5</v>
      </c>
      <c r="B7" t="s">
        <v>37</v>
      </c>
      <c r="C7" t="s">
        <v>43</v>
      </c>
      <c r="D7" t="s">
        <v>44</v>
      </c>
      <c r="E7" t="s">
        <v>32</v>
      </c>
      <c r="F7" t="s">
        <v>42</v>
      </c>
      <c r="G7">
        <v>14.949</v>
      </c>
      <c r="H7">
        <v>15.625999999999999</v>
      </c>
      <c r="I7">
        <v>16.594999999999999</v>
      </c>
      <c r="J7">
        <v>17.975000000000001</v>
      </c>
      <c r="K7">
        <v>19.728999999999999</v>
      </c>
      <c r="L7">
        <v>21.073</v>
      </c>
      <c r="M7">
        <v>22.122</v>
      </c>
      <c r="N7">
        <v>23.613</v>
      </c>
      <c r="O7">
        <v>25.937000000000001</v>
      </c>
      <c r="P7">
        <v>26.957000000000001</v>
      </c>
      <c r="Q7">
        <v>26.989000000000001</v>
      </c>
      <c r="R7">
        <v>28.164000000000001</v>
      </c>
      <c r="S7">
        <v>27.125</v>
      </c>
      <c r="T7">
        <v>21.11</v>
      </c>
      <c r="U7">
        <v>21.847999999999999</v>
      </c>
      <c r="V7">
        <v>25.649000000000001</v>
      </c>
      <c r="W7">
        <v>29.654</v>
      </c>
      <c r="X7">
        <v>32.356000000000002</v>
      </c>
      <c r="Y7">
        <v>34.241999999999997</v>
      </c>
      <c r="Z7">
        <v>35.524000000000001</v>
      </c>
      <c r="AA7">
        <v>37.442</v>
      </c>
      <c r="AB7">
        <v>39.905999999999999</v>
      </c>
      <c r="AC7">
        <v>46.055999999999997</v>
      </c>
      <c r="AD7">
        <v>49.439</v>
      </c>
      <c r="AE7">
        <v>56.326000000000001</v>
      </c>
      <c r="AF7">
        <v>68.754999999999995</v>
      </c>
      <c r="AG7">
        <v>85.561999999999998</v>
      </c>
      <c r="AH7">
        <v>107.684</v>
      </c>
      <c r="AI7">
        <v>124.967</v>
      </c>
      <c r="AJ7">
        <v>128.95400000000001</v>
      </c>
      <c r="AK7">
        <v>134.977</v>
      </c>
      <c r="AL7">
        <v>143.16200000000001</v>
      </c>
      <c r="AM7">
        <v>153.316</v>
      </c>
      <c r="AN7">
        <v>166.40700000000001</v>
      </c>
      <c r="AO7">
        <v>177.53200000000001</v>
      </c>
      <c r="AP7">
        <v>184.85300000000001</v>
      </c>
      <c r="AQ7">
        <v>185.96600000000001</v>
      </c>
      <c r="AR7">
        <v>191.999</v>
      </c>
      <c r="AS7">
        <v>198.76499999999999</v>
      </c>
      <c r="AT7">
        <v>205.84399999999999</v>
      </c>
      <c r="AU7">
        <v>213.35900000000001</v>
      </c>
      <c r="AV7">
        <v>220.75200000000001</v>
      </c>
      <c r="AW7">
        <v>228.22200000000001</v>
      </c>
    </row>
    <row r="8" spans="1:49" x14ac:dyDescent="0.35">
      <c r="A8" t="s">
        <v>5</v>
      </c>
      <c r="B8" t="s">
        <v>45</v>
      </c>
      <c r="C8" t="s">
        <v>46</v>
      </c>
      <c r="D8" t="s">
        <v>47</v>
      </c>
      <c r="F8" t="s">
        <v>48</v>
      </c>
      <c r="G8" t="s">
        <v>39</v>
      </c>
      <c r="H8" t="s">
        <v>39</v>
      </c>
      <c r="I8" t="s">
        <v>39</v>
      </c>
      <c r="J8" t="s">
        <v>39</v>
      </c>
      <c r="K8" t="s">
        <v>39</v>
      </c>
      <c r="L8" t="s">
        <v>39</v>
      </c>
      <c r="M8" t="s">
        <v>39</v>
      </c>
      <c r="N8" t="s">
        <v>39</v>
      </c>
      <c r="O8" t="s">
        <v>39</v>
      </c>
      <c r="P8" t="s">
        <v>39</v>
      </c>
      <c r="Q8" t="s">
        <v>39</v>
      </c>
      <c r="R8" t="s">
        <v>39</v>
      </c>
      <c r="S8" t="s">
        <v>39</v>
      </c>
      <c r="T8" t="s">
        <v>39</v>
      </c>
      <c r="U8" t="s">
        <v>39</v>
      </c>
      <c r="V8">
        <v>4.0000000000000001E-3</v>
      </c>
      <c r="W8">
        <v>0.215</v>
      </c>
      <c r="X8">
        <v>0.42</v>
      </c>
      <c r="Y8">
        <v>0.58599999999999997</v>
      </c>
      <c r="Z8">
        <v>3.8530000000000002</v>
      </c>
      <c r="AA8">
        <v>19.957999999999998</v>
      </c>
      <c r="AB8">
        <v>41.183999999999997</v>
      </c>
      <c r="AC8">
        <v>100</v>
      </c>
      <c r="AD8">
        <v>184.886</v>
      </c>
      <c r="AE8">
        <v>258.45800000000003</v>
      </c>
      <c r="AF8">
        <v>327.767</v>
      </c>
      <c r="AG8">
        <v>370.512</v>
      </c>
      <c r="AH8">
        <v>417.25700000000001</v>
      </c>
      <c r="AI8">
        <v>499.38</v>
      </c>
      <c r="AJ8">
        <v>462.33199999999999</v>
      </c>
      <c r="AK8">
        <v>565.86599999999999</v>
      </c>
      <c r="AL8">
        <v>702.62</v>
      </c>
      <c r="AM8">
        <v>752.29700000000003</v>
      </c>
      <c r="AN8">
        <v>771.14</v>
      </c>
      <c r="AO8">
        <v>760.577</v>
      </c>
      <c r="AP8">
        <v>730.02</v>
      </c>
      <c r="AQ8">
        <v>930.20100000000002</v>
      </c>
      <c r="AR8" s="27">
        <v>1209.3699999999999</v>
      </c>
      <c r="AS8" s="27">
        <v>1427.28</v>
      </c>
      <c r="AT8" s="27">
        <v>1628.75</v>
      </c>
      <c r="AU8" s="27">
        <v>1846.23</v>
      </c>
      <c r="AV8" s="27">
        <v>2053.3000000000002</v>
      </c>
      <c r="AW8" s="27">
        <v>2259.37</v>
      </c>
    </row>
    <row r="9" spans="1:49" x14ac:dyDescent="0.35">
      <c r="A9" t="s">
        <v>5</v>
      </c>
      <c r="B9" t="s">
        <v>49</v>
      </c>
      <c r="C9" t="s">
        <v>50</v>
      </c>
      <c r="D9" t="s">
        <v>31</v>
      </c>
      <c r="E9" t="s">
        <v>26</v>
      </c>
      <c r="F9" t="s">
        <v>51</v>
      </c>
      <c r="G9" s="27">
        <v>38141.29</v>
      </c>
      <c r="H9" s="27">
        <v>35503.519999999997</v>
      </c>
      <c r="I9" s="27">
        <v>34588.480000000003</v>
      </c>
      <c r="J9" s="27">
        <v>35121.71</v>
      </c>
      <c r="K9" s="27">
        <v>36270.120000000003</v>
      </c>
      <c r="L9" s="27">
        <v>33313.69</v>
      </c>
      <c r="M9" s="27">
        <v>33327.57</v>
      </c>
      <c r="N9" s="27">
        <v>33823.86</v>
      </c>
      <c r="O9" s="27">
        <v>34950.239999999998</v>
      </c>
      <c r="P9" s="27">
        <v>34031.440000000002</v>
      </c>
      <c r="Q9" s="27">
        <v>32003.03</v>
      </c>
      <c r="R9" s="27">
        <v>31378.93</v>
      </c>
      <c r="S9" s="27">
        <v>28686.35</v>
      </c>
      <c r="T9" s="27">
        <v>21171.24</v>
      </c>
      <c r="U9" s="27">
        <v>20829.91</v>
      </c>
      <c r="V9" s="27">
        <v>23256.69</v>
      </c>
      <c r="W9" s="27">
        <v>25637.54</v>
      </c>
      <c r="X9" s="27">
        <v>26701.439999999999</v>
      </c>
      <c r="Y9" s="27">
        <v>27139.85</v>
      </c>
      <c r="Z9" s="27">
        <v>26924.18</v>
      </c>
      <c r="AA9" s="27">
        <v>26938.45</v>
      </c>
      <c r="AB9" s="27">
        <v>27253.87</v>
      </c>
      <c r="AC9" s="27">
        <v>30076.02</v>
      </c>
      <c r="AD9" s="27">
        <v>30732.31</v>
      </c>
      <c r="AE9" s="27">
        <v>33083.32</v>
      </c>
      <c r="AF9" s="27">
        <v>37985.29</v>
      </c>
      <c r="AG9" s="27">
        <v>44525.77</v>
      </c>
      <c r="AH9" s="27">
        <v>52995.65</v>
      </c>
      <c r="AI9" s="27">
        <v>58561.279999999999</v>
      </c>
      <c r="AJ9" s="27">
        <v>58227.49</v>
      </c>
      <c r="AK9" s="27">
        <v>58457.93</v>
      </c>
      <c r="AL9" s="27">
        <v>58979.27</v>
      </c>
      <c r="AM9" s="27">
        <v>60213.53</v>
      </c>
      <c r="AN9" s="27">
        <v>62442.94</v>
      </c>
      <c r="AO9" s="27">
        <v>63536.88</v>
      </c>
      <c r="AP9" s="27">
        <v>63541.17</v>
      </c>
      <c r="AQ9" s="27">
        <v>61280</v>
      </c>
      <c r="AR9" s="27">
        <v>60373.37</v>
      </c>
      <c r="AS9" s="27">
        <v>59525.15</v>
      </c>
      <c r="AT9" s="27">
        <v>58599.39</v>
      </c>
      <c r="AU9" s="27">
        <v>57754.63</v>
      </c>
      <c r="AV9" s="27">
        <v>56834.97</v>
      </c>
      <c r="AW9" s="27">
        <v>55969.88</v>
      </c>
    </row>
    <row r="10" spans="1:49" x14ac:dyDescent="0.35">
      <c r="A10" t="s">
        <v>5</v>
      </c>
      <c r="B10" t="s">
        <v>49</v>
      </c>
      <c r="C10" t="s">
        <v>52</v>
      </c>
      <c r="D10" t="s">
        <v>53</v>
      </c>
      <c r="E10" t="s">
        <v>26</v>
      </c>
      <c r="F10" t="s">
        <v>51</v>
      </c>
      <c r="G10" s="27">
        <v>3922.84</v>
      </c>
      <c r="H10" s="27">
        <v>3651.55</v>
      </c>
      <c r="I10" s="27">
        <v>3557.44</v>
      </c>
      <c r="J10" s="27">
        <v>3612.28</v>
      </c>
      <c r="K10" s="27">
        <v>3730.39</v>
      </c>
      <c r="L10" s="27">
        <v>3426.32</v>
      </c>
      <c r="M10" s="27">
        <v>3427.75</v>
      </c>
      <c r="N10" s="27">
        <v>3478.79</v>
      </c>
      <c r="O10" s="27">
        <v>3594.64</v>
      </c>
      <c r="P10" s="27">
        <v>3500.14</v>
      </c>
      <c r="Q10" s="27">
        <v>3291.52</v>
      </c>
      <c r="R10" s="27">
        <v>3227.33</v>
      </c>
      <c r="S10" s="27">
        <v>2950.4</v>
      </c>
      <c r="T10" s="27">
        <v>2177.4699999999998</v>
      </c>
      <c r="U10" s="27">
        <v>2142.36</v>
      </c>
      <c r="V10" s="27">
        <v>2391.96</v>
      </c>
      <c r="W10" s="27">
        <v>2636.83</v>
      </c>
      <c r="X10" s="27">
        <v>2746.25</v>
      </c>
      <c r="Y10" s="27">
        <v>2791.34</v>
      </c>
      <c r="Z10" s="27">
        <v>2769.16</v>
      </c>
      <c r="AA10" s="27">
        <v>2770.63</v>
      </c>
      <c r="AB10" s="27">
        <v>2803.07</v>
      </c>
      <c r="AC10" s="27">
        <v>3093.33</v>
      </c>
      <c r="AD10" s="27">
        <v>3160.83</v>
      </c>
      <c r="AE10" s="27">
        <v>3402.63</v>
      </c>
      <c r="AF10" s="27">
        <v>3906.8</v>
      </c>
      <c r="AG10" s="27">
        <v>4579.49</v>
      </c>
      <c r="AH10" s="27">
        <v>5450.62</v>
      </c>
      <c r="AI10" s="27">
        <v>6023.04</v>
      </c>
      <c r="AJ10" s="27">
        <v>5988.71</v>
      </c>
      <c r="AK10" s="27">
        <v>6012.41</v>
      </c>
      <c r="AL10" s="27">
        <v>6066.03</v>
      </c>
      <c r="AM10" s="27">
        <v>6192.98</v>
      </c>
      <c r="AN10" s="27">
        <v>6422.27</v>
      </c>
      <c r="AO10" s="27">
        <v>6534.79</v>
      </c>
      <c r="AP10" s="27">
        <v>6535.23</v>
      </c>
      <c r="AQ10" s="27">
        <v>6302.66</v>
      </c>
      <c r="AR10" s="27">
        <v>6209.42</v>
      </c>
      <c r="AS10" s="27">
        <v>6122.18</v>
      </c>
      <c r="AT10" s="27">
        <v>6026.96</v>
      </c>
      <c r="AU10" s="27">
        <v>5940.08</v>
      </c>
      <c r="AV10" s="27">
        <v>5845.49</v>
      </c>
      <c r="AW10" s="27">
        <v>5756.52</v>
      </c>
    </row>
    <row r="11" spans="1:49" x14ac:dyDescent="0.35">
      <c r="A11" t="s">
        <v>5</v>
      </c>
      <c r="B11" t="s">
        <v>54</v>
      </c>
      <c r="C11" t="s">
        <v>55</v>
      </c>
      <c r="D11" t="s">
        <v>31</v>
      </c>
      <c r="E11" t="s">
        <v>26</v>
      </c>
      <c r="F11" t="s">
        <v>56</v>
      </c>
      <c r="G11" t="s">
        <v>39</v>
      </c>
      <c r="H11" t="s">
        <v>39</v>
      </c>
      <c r="I11" t="s">
        <v>39</v>
      </c>
      <c r="J11" t="s">
        <v>39</v>
      </c>
      <c r="K11" t="s">
        <v>39</v>
      </c>
      <c r="L11" t="s">
        <v>39</v>
      </c>
      <c r="M11" t="s">
        <v>39</v>
      </c>
      <c r="N11" t="s">
        <v>39</v>
      </c>
      <c r="O11" t="s">
        <v>39</v>
      </c>
      <c r="P11" t="s">
        <v>39</v>
      </c>
      <c r="Q11" t="s">
        <v>39</v>
      </c>
      <c r="R11" t="s">
        <v>39</v>
      </c>
      <c r="S11" t="s">
        <v>39</v>
      </c>
      <c r="T11">
        <v>2E-3</v>
      </c>
      <c r="U11">
        <v>4.7E-2</v>
      </c>
      <c r="V11">
        <v>1.0209999999999999</v>
      </c>
      <c r="W11">
        <v>55.154000000000003</v>
      </c>
      <c r="X11">
        <v>112.274</v>
      </c>
      <c r="Y11">
        <v>159.03299999999999</v>
      </c>
      <c r="Z11" s="27">
        <v>1037.3399999999999</v>
      </c>
      <c r="AA11" s="27">
        <v>5376.44</v>
      </c>
      <c r="AB11" s="27">
        <v>11224.3</v>
      </c>
      <c r="AC11" s="27">
        <v>30076.02</v>
      </c>
      <c r="AD11" s="27">
        <v>56819.88</v>
      </c>
      <c r="AE11" s="27">
        <v>85506.559999999998</v>
      </c>
      <c r="AF11" s="27">
        <v>124503.3</v>
      </c>
      <c r="AG11" s="27">
        <v>164973.26</v>
      </c>
      <c r="AH11" s="27">
        <v>221128.21</v>
      </c>
      <c r="AI11" s="27">
        <v>292443.42</v>
      </c>
      <c r="AJ11" s="27">
        <v>269204.28999999998</v>
      </c>
      <c r="AK11" s="27">
        <v>330793.71000000002</v>
      </c>
      <c r="AL11" s="27">
        <v>414400.2</v>
      </c>
      <c r="AM11" s="27">
        <v>452984.35</v>
      </c>
      <c r="AN11" s="27">
        <v>481522.26</v>
      </c>
      <c r="AO11" s="27">
        <v>483247.08</v>
      </c>
      <c r="AP11" s="27">
        <v>463863.36</v>
      </c>
      <c r="AQ11" s="27">
        <v>570027.32999999996</v>
      </c>
      <c r="AR11" s="27">
        <v>730134.67</v>
      </c>
      <c r="AS11" s="27">
        <v>849593.21</v>
      </c>
      <c r="AT11" s="27">
        <v>954434.63</v>
      </c>
      <c r="AU11" s="27">
        <v>1066285.73</v>
      </c>
      <c r="AV11" s="27">
        <v>1166993.17</v>
      </c>
      <c r="AW11" s="27">
        <v>1264568.53</v>
      </c>
    </row>
    <row r="12" spans="1:49" x14ac:dyDescent="0.35">
      <c r="A12" t="s">
        <v>5</v>
      </c>
      <c r="B12" t="s">
        <v>54</v>
      </c>
      <c r="C12" t="s">
        <v>57</v>
      </c>
      <c r="D12" t="s">
        <v>41</v>
      </c>
      <c r="E12" t="s">
        <v>26</v>
      </c>
      <c r="F12" t="s">
        <v>56</v>
      </c>
      <c r="G12">
        <v>668.88</v>
      </c>
      <c r="H12">
        <v>609.54399999999998</v>
      </c>
      <c r="I12">
        <v>593.83399999999995</v>
      </c>
      <c r="J12">
        <v>603.06600000000003</v>
      </c>
      <c r="K12">
        <v>622.79200000000003</v>
      </c>
      <c r="L12">
        <v>680.91399999999999</v>
      </c>
      <c r="M12">
        <v>619.80100000000004</v>
      </c>
      <c r="N12">
        <v>690.82299999999998</v>
      </c>
      <c r="O12">
        <v>729.63099999999997</v>
      </c>
      <c r="P12">
        <v>826.10799999999995</v>
      </c>
      <c r="Q12">
        <v>885.68799999999999</v>
      </c>
      <c r="R12">
        <v>833.50300000000004</v>
      </c>
      <c r="S12">
        <v>623.94200000000001</v>
      </c>
      <c r="T12">
        <v>439.64499999999998</v>
      </c>
      <c r="U12">
        <v>310.81299999999999</v>
      </c>
      <c r="V12">
        <v>376.60300000000001</v>
      </c>
      <c r="W12">
        <v>431.42899999999997</v>
      </c>
      <c r="X12">
        <v>491.92599999999999</v>
      </c>
      <c r="Y12">
        <v>404.85599999999999</v>
      </c>
      <c r="Z12">
        <v>371.71100000000001</v>
      </c>
      <c r="AA12">
        <v>535.47299999999996</v>
      </c>
      <c r="AB12">
        <v>508.85700000000003</v>
      </c>
      <c r="AC12">
        <v>690.923</v>
      </c>
      <c r="AD12">
        <v>761.596</v>
      </c>
      <c r="AE12" s="27">
        <v>1023.52</v>
      </c>
      <c r="AF12" s="27">
        <v>1428.46</v>
      </c>
      <c r="AG12" s="27">
        <v>2052.7199999999998</v>
      </c>
      <c r="AH12" s="27">
        <v>2882.8</v>
      </c>
      <c r="AI12" s="27">
        <v>3897.51</v>
      </c>
      <c r="AJ12" s="27">
        <v>3393.55</v>
      </c>
      <c r="AK12" s="27">
        <v>3599.27</v>
      </c>
      <c r="AL12" s="27">
        <v>4411.58</v>
      </c>
      <c r="AM12" s="27">
        <v>4744.88</v>
      </c>
      <c r="AN12" s="27">
        <v>4988.92</v>
      </c>
      <c r="AO12" s="27">
        <v>4915.92</v>
      </c>
      <c r="AP12" s="27">
        <v>3876.2</v>
      </c>
      <c r="AQ12" s="27">
        <v>3484.53</v>
      </c>
      <c r="AR12" s="27">
        <v>4401.43</v>
      </c>
      <c r="AS12" s="27">
        <v>4762.6000000000004</v>
      </c>
      <c r="AT12" s="27">
        <v>4692.21</v>
      </c>
      <c r="AU12" s="27">
        <v>4714.03</v>
      </c>
      <c r="AV12" s="27">
        <v>4741.24</v>
      </c>
      <c r="AW12" s="27">
        <v>4728.13</v>
      </c>
    </row>
    <row r="13" spans="1:49" x14ac:dyDescent="0.35">
      <c r="A13" t="s">
        <v>5</v>
      </c>
      <c r="B13" t="s">
        <v>54</v>
      </c>
      <c r="C13" t="s">
        <v>58</v>
      </c>
      <c r="D13" t="s">
        <v>44</v>
      </c>
      <c r="E13" t="s">
        <v>26</v>
      </c>
      <c r="F13" t="s">
        <v>56</v>
      </c>
      <c r="G13" s="27">
        <v>1685.04</v>
      </c>
      <c r="H13" s="27">
        <v>1714.96</v>
      </c>
      <c r="I13" s="27">
        <v>1774.42</v>
      </c>
      <c r="J13" s="27">
        <v>1872.9</v>
      </c>
      <c r="K13" s="27">
        <v>2002.78</v>
      </c>
      <c r="L13" s="27">
        <v>1898.4</v>
      </c>
      <c r="M13" s="27">
        <v>1937.48</v>
      </c>
      <c r="N13" s="27">
        <v>2016.51</v>
      </c>
      <c r="O13" s="27">
        <v>2156.61</v>
      </c>
      <c r="P13" s="27">
        <v>2181.5700000000002</v>
      </c>
      <c r="Q13" s="27">
        <v>2127.42</v>
      </c>
      <c r="R13" s="27">
        <v>2155.36</v>
      </c>
      <c r="S13" s="27">
        <v>2015.33</v>
      </c>
      <c r="T13" s="27">
        <v>1522.75</v>
      </c>
      <c r="U13" s="27">
        <v>1530.09</v>
      </c>
      <c r="V13" s="27">
        <v>1743.98</v>
      </c>
      <c r="W13" s="27">
        <v>1957.6</v>
      </c>
      <c r="X13" s="27">
        <v>2073.75</v>
      </c>
      <c r="Y13" s="27">
        <v>2130.67</v>
      </c>
      <c r="Z13" s="27">
        <v>2146.08</v>
      </c>
      <c r="AA13" s="27">
        <v>2196.08</v>
      </c>
      <c r="AB13" s="27">
        <v>2272.42</v>
      </c>
      <c r="AC13" s="27">
        <v>2546.23</v>
      </c>
      <c r="AD13" s="27">
        <v>2653.67</v>
      </c>
      <c r="AE13" s="27">
        <v>2935.23</v>
      </c>
      <c r="AF13" s="27">
        <v>3478.58</v>
      </c>
      <c r="AG13" s="27">
        <v>4202.83</v>
      </c>
      <c r="AH13" s="27">
        <v>5135.41</v>
      </c>
      <c r="AI13" s="27">
        <v>5786.05</v>
      </c>
      <c r="AJ13" s="27">
        <v>5796.76</v>
      </c>
      <c r="AK13" s="27">
        <v>5890.81</v>
      </c>
      <c r="AL13" s="27">
        <v>6066.03</v>
      </c>
      <c r="AM13" s="27">
        <v>6307.06</v>
      </c>
      <c r="AN13" s="27">
        <v>6646.2</v>
      </c>
      <c r="AO13" s="27">
        <v>6884.01</v>
      </c>
      <c r="AP13" s="27">
        <v>6959.13</v>
      </c>
      <c r="AQ13" s="27">
        <v>6797.11</v>
      </c>
      <c r="AR13" s="27">
        <v>6813.21</v>
      </c>
      <c r="AS13" s="27">
        <v>6847.87</v>
      </c>
      <c r="AT13" s="27">
        <v>6885.22</v>
      </c>
      <c r="AU13" s="27">
        <v>6928.71</v>
      </c>
      <c r="AV13" s="27">
        <v>6959.99</v>
      </c>
      <c r="AW13" s="27">
        <v>6985.93</v>
      </c>
    </row>
    <row r="14" spans="1:49" x14ac:dyDescent="0.35">
      <c r="A14" t="s">
        <v>5</v>
      </c>
      <c r="B14" t="s">
        <v>59</v>
      </c>
      <c r="C14" t="s">
        <v>60</v>
      </c>
      <c r="D14" t="s">
        <v>61</v>
      </c>
    </row>
    <row r="15" spans="1:49" x14ac:dyDescent="0.35">
      <c r="A15" t="s">
        <v>5</v>
      </c>
      <c r="B15" t="s">
        <v>62</v>
      </c>
      <c r="C15" t="s">
        <v>63</v>
      </c>
      <c r="D15" t="s">
        <v>64</v>
      </c>
      <c r="F15" t="s">
        <v>42</v>
      </c>
      <c r="G15">
        <v>0.114</v>
      </c>
      <c r="H15">
        <v>0.107</v>
      </c>
      <c r="I15">
        <v>0.106</v>
      </c>
      <c r="J15">
        <v>0.108</v>
      </c>
      <c r="K15">
        <v>0.11</v>
      </c>
      <c r="L15">
        <v>0.11</v>
      </c>
      <c r="M15">
        <v>0.109</v>
      </c>
      <c r="N15">
        <v>0.109</v>
      </c>
      <c r="O15">
        <v>0.111</v>
      </c>
      <c r="P15">
        <v>0.107</v>
      </c>
      <c r="Q15">
        <v>9.9000000000000005E-2</v>
      </c>
      <c r="R15">
        <v>9.8000000000000004E-2</v>
      </c>
      <c r="S15">
        <v>8.3000000000000004E-2</v>
      </c>
      <c r="T15">
        <v>6.2E-2</v>
      </c>
      <c r="U15">
        <v>6.0999999999999999E-2</v>
      </c>
      <c r="V15">
        <v>6.7000000000000004E-2</v>
      </c>
      <c r="W15">
        <v>7.3999999999999996E-2</v>
      </c>
      <c r="X15">
        <v>7.5999999999999998E-2</v>
      </c>
      <c r="Y15">
        <v>7.6999999999999999E-2</v>
      </c>
      <c r="Z15">
        <v>7.5999999999999998E-2</v>
      </c>
      <c r="AA15">
        <v>7.4999999999999997E-2</v>
      </c>
      <c r="AB15">
        <v>7.5999999999999998E-2</v>
      </c>
      <c r="AC15">
        <v>8.4000000000000005E-2</v>
      </c>
      <c r="AD15">
        <v>8.5000000000000006E-2</v>
      </c>
      <c r="AE15">
        <v>0.09</v>
      </c>
      <c r="AF15">
        <v>0.10100000000000001</v>
      </c>
      <c r="AG15">
        <v>0.11600000000000001</v>
      </c>
      <c r="AH15">
        <v>0.13500000000000001</v>
      </c>
      <c r="AI15">
        <v>0.15</v>
      </c>
      <c r="AJ15">
        <v>0.154</v>
      </c>
      <c r="AK15">
        <v>0.151</v>
      </c>
      <c r="AL15">
        <v>0.151</v>
      </c>
      <c r="AM15">
        <v>0.154</v>
      </c>
      <c r="AN15">
        <v>0.159</v>
      </c>
      <c r="AO15">
        <v>0.161</v>
      </c>
      <c r="AP15">
        <v>0.161</v>
      </c>
      <c r="AQ15">
        <v>0.155</v>
      </c>
      <c r="AR15">
        <v>0.152</v>
      </c>
      <c r="AS15">
        <v>0.14899999999999999</v>
      </c>
      <c r="AT15">
        <v>0.14499999999999999</v>
      </c>
      <c r="AU15">
        <v>0.14199999999999999</v>
      </c>
      <c r="AV15">
        <v>0.13900000000000001</v>
      </c>
      <c r="AW15">
        <v>0.13600000000000001</v>
      </c>
    </row>
    <row r="16" spans="1:49" x14ac:dyDescent="0.35">
      <c r="A16" t="s">
        <v>5</v>
      </c>
      <c r="B16" t="s">
        <v>65</v>
      </c>
      <c r="C16" t="s">
        <v>66</v>
      </c>
      <c r="D16" t="s">
        <v>67</v>
      </c>
      <c r="F16" t="s">
        <v>42</v>
      </c>
      <c r="G16" t="s">
        <v>39</v>
      </c>
      <c r="H16" t="s">
        <v>39</v>
      </c>
      <c r="I16" t="s">
        <v>39</v>
      </c>
      <c r="J16" t="s">
        <v>39</v>
      </c>
      <c r="K16" t="s">
        <v>39</v>
      </c>
      <c r="L16" t="s">
        <v>39</v>
      </c>
      <c r="M16" t="s">
        <v>39</v>
      </c>
      <c r="N16" t="s">
        <v>39</v>
      </c>
      <c r="O16" t="s">
        <v>39</v>
      </c>
      <c r="P16" t="s">
        <v>39</v>
      </c>
      <c r="Q16" t="s">
        <v>39</v>
      </c>
      <c r="R16" t="s">
        <v>39</v>
      </c>
      <c r="S16" t="s">
        <v>39</v>
      </c>
      <c r="T16" t="s">
        <v>39</v>
      </c>
      <c r="U16" t="s">
        <v>39</v>
      </c>
      <c r="V16">
        <v>1E-3</v>
      </c>
      <c r="W16">
        <v>2.8000000000000001E-2</v>
      </c>
      <c r="X16">
        <v>5.3999999999999999E-2</v>
      </c>
      <c r="Y16">
        <v>7.4999999999999997E-2</v>
      </c>
      <c r="Z16">
        <v>0.48299999999999998</v>
      </c>
      <c r="AA16">
        <v>2.448</v>
      </c>
      <c r="AB16">
        <v>4.9390000000000001</v>
      </c>
      <c r="AC16">
        <v>11.811999999999999</v>
      </c>
      <c r="AD16">
        <v>21.411999999999999</v>
      </c>
      <c r="AE16">
        <v>29.131</v>
      </c>
      <c r="AF16">
        <v>35.790999999999997</v>
      </c>
      <c r="AG16">
        <v>39.253</v>
      </c>
      <c r="AH16">
        <v>43.058999999999997</v>
      </c>
      <c r="AI16">
        <v>50.542999999999999</v>
      </c>
      <c r="AJ16">
        <v>46.44</v>
      </c>
      <c r="AK16">
        <v>56.154000000000003</v>
      </c>
      <c r="AL16">
        <v>68.314999999999998</v>
      </c>
      <c r="AM16">
        <v>71.822000000000003</v>
      </c>
      <c r="AN16">
        <v>72.450999999999993</v>
      </c>
      <c r="AO16">
        <v>70.197999999999993</v>
      </c>
      <c r="AP16">
        <v>66.655000000000001</v>
      </c>
      <c r="AQ16">
        <v>83.863</v>
      </c>
      <c r="AR16">
        <v>107.16500000000001</v>
      </c>
      <c r="AS16">
        <v>124.06699999999999</v>
      </c>
      <c r="AT16">
        <v>138.62100000000001</v>
      </c>
      <c r="AU16">
        <v>153.89400000000001</v>
      </c>
      <c r="AV16">
        <v>167.672</v>
      </c>
      <c r="AW16">
        <v>181.01599999999999</v>
      </c>
    </row>
    <row r="17" spans="1:49" x14ac:dyDescent="0.35">
      <c r="A17" t="s">
        <v>5</v>
      </c>
      <c r="B17" t="s">
        <v>68</v>
      </c>
      <c r="C17" t="s">
        <v>69</v>
      </c>
      <c r="D17" t="s">
        <v>70</v>
      </c>
      <c r="F17" t="s">
        <v>33</v>
      </c>
      <c r="G17">
        <v>17.832000000000001</v>
      </c>
      <c r="H17">
        <v>19.341999999999999</v>
      </c>
      <c r="I17">
        <v>21.943000000000001</v>
      </c>
      <c r="J17">
        <v>18.213000000000001</v>
      </c>
      <c r="K17">
        <v>18.163</v>
      </c>
      <c r="L17">
        <v>13.901999999999999</v>
      </c>
      <c r="M17">
        <v>13.957000000000001</v>
      </c>
      <c r="N17">
        <v>13.84</v>
      </c>
      <c r="O17">
        <v>10.784000000000001</v>
      </c>
      <c r="P17">
        <v>10.727</v>
      </c>
      <c r="Q17">
        <v>6.17</v>
      </c>
      <c r="R17">
        <v>13.737</v>
      </c>
      <c r="S17">
        <v>23.574999999999999</v>
      </c>
      <c r="T17">
        <v>24.187999999999999</v>
      </c>
      <c r="U17">
        <v>23.513000000000002</v>
      </c>
      <c r="V17">
        <v>25.538</v>
      </c>
      <c r="W17">
        <v>34.697000000000003</v>
      </c>
      <c r="X17">
        <v>25.468</v>
      </c>
      <c r="Y17">
        <v>35.198</v>
      </c>
      <c r="Z17">
        <v>28.795999999999999</v>
      </c>
      <c r="AA17">
        <v>15.053000000000001</v>
      </c>
      <c r="AB17">
        <v>13.628</v>
      </c>
      <c r="AC17">
        <v>11.821</v>
      </c>
      <c r="AD17">
        <v>12.843</v>
      </c>
      <c r="AE17">
        <v>9.1669999999999998</v>
      </c>
      <c r="AF17">
        <v>8.7789999999999999</v>
      </c>
      <c r="AG17">
        <v>15.361000000000001</v>
      </c>
      <c r="AH17">
        <v>13.505000000000001</v>
      </c>
      <c r="AI17">
        <v>16.219000000000001</v>
      </c>
      <c r="AJ17">
        <v>15.228999999999999</v>
      </c>
      <c r="AK17">
        <v>14.433</v>
      </c>
      <c r="AL17">
        <v>12.906000000000001</v>
      </c>
      <c r="AM17">
        <v>14.932</v>
      </c>
      <c r="AN17">
        <v>14.698</v>
      </c>
      <c r="AO17">
        <v>15.34</v>
      </c>
      <c r="AP17">
        <v>9.5519999999999996</v>
      </c>
      <c r="AQ17">
        <v>8.4019999999999992</v>
      </c>
      <c r="AR17">
        <v>7.8310000000000004</v>
      </c>
      <c r="AS17">
        <v>6.7279999999999998</v>
      </c>
      <c r="AT17">
        <v>6.742</v>
      </c>
      <c r="AU17">
        <v>6.7039999999999997</v>
      </c>
      <c r="AV17">
        <v>6.6639999999999997</v>
      </c>
      <c r="AW17">
        <v>6.6449999999999996</v>
      </c>
    </row>
    <row r="18" spans="1:49" x14ac:dyDescent="0.35">
      <c r="A18" t="s">
        <v>5</v>
      </c>
      <c r="B18" t="s">
        <v>71</v>
      </c>
      <c r="C18" t="s">
        <v>72</v>
      </c>
      <c r="D18" t="s">
        <v>70</v>
      </c>
      <c r="F18" t="s">
        <v>33</v>
      </c>
      <c r="G18">
        <v>19.808</v>
      </c>
      <c r="H18">
        <v>16.899999999999999</v>
      </c>
      <c r="I18">
        <v>13.894</v>
      </c>
      <c r="J18">
        <v>12.824999999999999</v>
      </c>
      <c r="K18">
        <v>16.152999999999999</v>
      </c>
      <c r="L18">
        <v>13.189</v>
      </c>
      <c r="M18">
        <v>6.0529999999999999</v>
      </c>
      <c r="N18">
        <v>15.831</v>
      </c>
      <c r="O18">
        <v>2.9990000000000001</v>
      </c>
      <c r="P18">
        <v>10.169</v>
      </c>
      <c r="Q18">
        <v>6.181</v>
      </c>
      <c r="R18">
        <v>12.726000000000001</v>
      </c>
      <c r="S18">
        <v>16.655999999999999</v>
      </c>
      <c r="T18">
        <v>16.154</v>
      </c>
      <c r="U18">
        <v>18.050999999999998</v>
      </c>
      <c r="V18">
        <v>15.37</v>
      </c>
      <c r="W18">
        <v>30.248000000000001</v>
      </c>
      <c r="X18">
        <v>13.96</v>
      </c>
      <c r="Y18">
        <v>6.3730000000000002</v>
      </c>
      <c r="Z18">
        <v>9.8000000000000004E-2</v>
      </c>
      <c r="AA18">
        <v>23.71</v>
      </c>
      <c r="AB18">
        <v>-2.3849999999999998</v>
      </c>
      <c r="AC18">
        <v>10.619</v>
      </c>
      <c r="AD18">
        <v>7.7679999999999998</v>
      </c>
      <c r="AE18">
        <v>12.635</v>
      </c>
      <c r="AF18">
        <v>26.977</v>
      </c>
      <c r="AG18">
        <v>40.942</v>
      </c>
      <c r="AH18">
        <v>31.009</v>
      </c>
      <c r="AI18">
        <v>24.765000000000001</v>
      </c>
      <c r="AJ18">
        <v>5.1989999999999998</v>
      </c>
      <c r="AK18">
        <v>23.533999999999999</v>
      </c>
      <c r="AL18">
        <v>25.472999999999999</v>
      </c>
      <c r="AM18">
        <v>26.942</v>
      </c>
      <c r="AN18">
        <v>21.382000000000001</v>
      </c>
      <c r="AO18">
        <v>12.384</v>
      </c>
      <c r="AP18">
        <v>-0.42499999999999999</v>
      </c>
      <c r="AQ18">
        <v>3.2589999999999999</v>
      </c>
      <c r="AR18">
        <v>3.056</v>
      </c>
      <c r="AS18">
        <v>2.2130000000000001</v>
      </c>
      <c r="AT18">
        <v>2.0390000000000001</v>
      </c>
      <c r="AU18">
        <v>2.0699999999999998</v>
      </c>
      <c r="AV18">
        <v>2.242</v>
      </c>
      <c r="AW18">
        <v>2.5219999999999998</v>
      </c>
    </row>
    <row r="19" spans="1:49" x14ac:dyDescent="0.35">
      <c r="A19" t="s">
        <v>5</v>
      </c>
      <c r="B19" t="s">
        <v>73</v>
      </c>
      <c r="C19" t="s">
        <v>74</v>
      </c>
      <c r="D19" t="s">
        <v>47</v>
      </c>
      <c r="F19" t="s">
        <v>75</v>
      </c>
      <c r="G19" t="s">
        <v>39</v>
      </c>
      <c r="H19" t="s">
        <v>39</v>
      </c>
      <c r="I19" t="s">
        <v>39</v>
      </c>
      <c r="J19" t="s">
        <v>39</v>
      </c>
      <c r="K19" t="s">
        <v>39</v>
      </c>
      <c r="L19" t="s">
        <v>39</v>
      </c>
      <c r="M19" t="s">
        <v>39</v>
      </c>
      <c r="N19" t="s">
        <v>39</v>
      </c>
      <c r="O19" t="s">
        <v>39</v>
      </c>
      <c r="P19" t="s">
        <v>39</v>
      </c>
      <c r="Q19" t="s">
        <v>39</v>
      </c>
      <c r="R19" t="s">
        <v>39</v>
      </c>
      <c r="S19" t="s">
        <v>39</v>
      </c>
      <c r="T19" t="s">
        <v>39</v>
      </c>
      <c r="U19" t="s">
        <v>39</v>
      </c>
      <c r="V19">
        <v>1E-3</v>
      </c>
      <c r="W19">
        <v>2.7E-2</v>
      </c>
      <c r="X19">
        <v>8.7999999999999995E-2</v>
      </c>
      <c r="Y19">
        <v>0.183</v>
      </c>
      <c r="Z19">
        <v>0.63700000000000001</v>
      </c>
      <c r="AA19">
        <v>2.7069999999999999</v>
      </c>
      <c r="AB19">
        <v>6.8380000000000001</v>
      </c>
      <c r="AC19">
        <v>14.284000000000001</v>
      </c>
      <c r="AD19">
        <v>28.312999999999999</v>
      </c>
      <c r="AE19">
        <v>40.637</v>
      </c>
      <c r="AF19">
        <v>49.968000000000004</v>
      </c>
      <c r="AG19">
        <v>56.616</v>
      </c>
      <c r="AH19">
        <v>63.551000000000002</v>
      </c>
      <c r="AI19">
        <v>71.471999999999994</v>
      </c>
      <c r="AJ19">
        <v>81.278000000000006</v>
      </c>
      <c r="AK19">
        <v>93.046999999999997</v>
      </c>
      <c r="AL19">
        <v>105.59399999999999</v>
      </c>
      <c r="AM19">
        <v>116.45399999999999</v>
      </c>
      <c r="AN19">
        <v>126.681</v>
      </c>
      <c r="AO19">
        <v>135.92699999999999</v>
      </c>
      <c r="AP19">
        <v>149.91</v>
      </c>
      <c r="AQ19">
        <v>198.447</v>
      </c>
      <c r="AR19">
        <v>259.803</v>
      </c>
      <c r="AS19">
        <v>313.39699999999999</v>
      </c>
      <c r="AT19">
        <v>357.25400000000002</v>
      </c>
      <c r="AU19">
        <v>404.88900000000001</v>
      </c>
      <c r="AV19">
        <v>449.00099999999998</v>
      </c>
      <c r="AW19">
        <v>491.66</v>
      </c>
    </row>
    <row r="20" spans="1:49" x14ac:dyDescent="0.35">
      <c r="A20" t="s">
        <v>5</v>
      </c>
      <c r="B20" t="s">
        <v>73</v>
      </c>
      <c r="C20" t="s">
        <v>76</v>
      </c>
      <c r="D20" t="s">
        <v>35</v>
      </c>
      <c r="F20" t="s">
        <v>77</v>
      </c>
      <c r="G20">
        <v>46.707999999999998</v>
      </c>
      <c r="H20">
        <v>1.391</v>
      </c>
      <c r="I20">
        <v>1.833</v>
      </c>
      <c r="J20">
        <v>1.833</v>
      </c>
      <c r="K20">
        <v>1.833</v>
      </c>
      <c r="L20">
        <v>1.833</v>
      </c>
      <c r="M20">
        <v>1.833</v>
      </c>
      <c r="N20">
        <v>1.833</v>
      </c>
      <c r="O20">
        <v>1.833</v>
      </c>
      <c r="P20">
        <v>1.833</v>
      </c>
      <c r="Q20">
        <v>1.833</v>
      </c>
      <c r="R20">
        <v>85.265000000000001</v>
      </c>
      <c r="S20">
        <v>299.09699999999998</v>
      </c>
      <c r="T20" s="27">
        <v>1379.48</v>
      </c>
      <c r="U20">
        <v>949.77099999999996</v>
      </c>
      <c r="V20" s="27">
        <v>2672.23</v>
      </c>
      <c r="W20" s="27">
        <v>4146.01</v>
      </c>
      <c r="X20">
        <v>221.49199999999999</v>
      </c>
      <c r="Y20">
        <v>107.429</v>
      </c>
      <c r="Z20">
        <v>248.24799999999999</v>
      </c>
      <c r="AA20">
        <v>325.029</v>
      </c>
      <c r="AB20">
        <v>152.58600000000001</v>
      </c>
      <c r="AC20">
        <v>108.893</v>
      </c>
      <c r="AD20">
        <v>98.218999999999994</v>
      </c>
      <c r="AE20">
        <v>43.524999999999999</v>
      </c>
      <c r="AF20">
        <v>22.960999999999999</v>
      </c>
      <c r="AG20">
        <v>13.305</v>
      </c>
      <c r="AH20">
        <v>12.249000000000001</v>
      </c>
      <c r="AI20">
        <v>12.465</v>
      </c>
      <c r="AJ20">
        <v>13.721</v>
      </c>
      <c r="AK20">
        <v>14.48</v>
      </c>
      <c r="AL20">
        <v>13.484</v>
      </c>
      <c r="AM20">
        <v>10.285</v>
      </c>
      <c r="AN20">
        <v>8.782</v>
      </c>
      <c r="AO20">
        <v>7.298</v>
      </c>
      <c r="AP20">
        <v>10.287000000000001</v>
      </c>
      <c r="AQ20">
        <v>32.378</v>
      </c>
      <c r="AR20">
        <v>30.917999999999999</v>
      </c>
      <c r="AS20">
        <v>20.629000000000001</v>
      </c>
      <c r="AT20">
        <v>13.994</v>
      </c>
      <c r="AU20">
        <v>13.334</v>
      </c>
      <c r="AV20">
        <v>10.895</v>
      </c>
      <c r="AW20">
        <v>9.5009999999999994</v>
      </c>
    </row>
    <row r="21" spans="1:49" x14ac:dyDescent="0.35">
      <c r="A21" t="s">
        <v>5</v>
      </c>
      <c r="B21" t="s">
        <v>78</v>
      </c>
      <c r="C21" t="s">
        <v>79</v>
      </c>
      <c r="D21" t="s">
        <v>47</v>
      </c>
      <c r="F21" t="s">
        <v>75</v>
      </c>
      <c r="G21" t="s">
        <v>39</v>
      </c>
      <c r="H21" t="s">
        <v>39</v>
      </c>
      <c r="I21" t="s">
        <v>39</v>
      </c>
      <c r="J21" t="s">
        <v>39</v>
      </c>
      <c r="K21" t="s">
        <v>39</v>
      </c>
      <c r="L21" t="s">
        <v>39</v>
      </c>
      <c r="M21" t="s">
        <v>39</v>
      </c>
      <c r="N21" t="s">
        <v>39</v>
      </c>
      <c r="O21" t="s">
        <v>39</v>
      </c>
      <c r="P21" t="s">
        <v>39</v>
      </c>
      <c r="Q21" t="s">
        <v>39</v>
      </c>
      <c r="R21" t="s">
        <v>39</v>
      </c>
      <c r="S21" t="s">
        <v>39</v>
      </c>
      <c r="T21" t="s">
        <v>39</v>
      </c>
      <c r="U21" t="s">
        <v>39</v>
      </c>
      <c r="V21">
        <v>3.0000000000000001E-3</v>
      </c>
      <c r="W21">
        <v>4.8000000000000001E-2</v>
      </c>
      <c r="X21">
        <v>0.11899999999999999</v>
      </c>
      <c r="Y21">
        <v>0.27800000000000002</v>
      </c>
      <c r="Z21">
        <v>1.1950000000000001</v>
      </c>
      <c r="AA21">
        <v>4.4009999999999998</v>
      </c>
      <c r="AB21">
        <v>9.5079999999999991</v>
      </c>
      <c r="AC21">
        <v>19.547999999999998</v>
      </c>
      <c r="AD21">
        <v>34.514000000000003</v>
      </c>
      <c r="AE21">
        <v>45.216999999999999</v>
      </c>
      <c r="AF21">
        <v>53.595999999999997</v>
      </c>
      <c r="AG21">
        <v>60.139000000000003</v>
      </c>
      <c r="AH21">
        <v>67.221000000000004</v>
      </c>
      <c r="AI21">
        <v>76.073999999999998</v>
      </c>
      <c r="AJ21">
        <v>86.713999999999999</v>
      </c>
      <c r="AK21">
        <v>100</v>
      </c>
      <c r="AL21">
        <v>111.376</v>
      </c>
      <c r="AM21">
        <v>121.447</v>
      </c>
      <c r="AN21">
        <v>130.78200000000001</v>
      </c>
      <c r="AO21">
        <v>140.58799999999999</v>
      </c>
      <c r="AP21">
        <v>160.65100000000001</v>
      </c>
      <c r="AQ21">
        <v>228.035</v>
      </c>
      <c r="AR21">
        <v>281.38499999999999</v>
      </c>
      <c r="AS21">
        <v>330.93900000000002</v>
      </c>
      <c r="AT21">
        <v>380.58</v>
      </c>
      <c r="AU21">
        <v>426.24900000000002</v>
      </c>
      <c r="AV21">
        <v>468.87400000000002</v>
      </c>
      <c r="AW21">
        <v>510.92</v>
      </c>
    </row>
    <row r="22" spans="1:49" x14ac:dyDescent="0.35">
      <c r="A22" t="s">
        <v>5</v>
      </c>
      <c r="B22" t="s">
        <v>78</v>
      </c>
      <c r="C22" t="s">
        <v>80</v>
      </c>
      <c r="D22" t="s">
        <v>35</v>
      </c>
      <c r="F22" t="s">
        <v>81</v>
      </c>
      <c r="G22" t="s">
        <v>82</v>
      </c>
      <c r="H22">
        <v>1.833</v>
      </c>
      <c r="I22">
        <v>1.833</v>
      </c>
      <c r="J22">
        <v>1.833</v>
      </c>
      <c r="K22">
        <v>1.833</v>
      </c>
      <c r="L22">
        <v>1.833</v>
      </c>
      <c r="M22">
        <v>1.833</v>
      </c>
      <c r="N22">
        <v>1.833</v>
      </c>
      <c r="O22">
        <v>1.833</v>
      </c>
      <c r="P22">
        <v>1.833</v>
      </c>
      <c r="Q22">
        <v>1.833</v>
      </c>
      <c r="R22">
        <v>175.72</v>
      </c>
      <c r="S22">
        <v>495.79300000000001</v>
      </c>
      <c r="T22" s="27">
        <v>1837.87</v>
      </c>
      <c r="U22">
        <v>971.95399999999995</v>
      </c>
      <c r="V22" s="27">
        <v>3783.92</v>
      </c>
      <c r="W22" s="27">
        <v>1650.83</v>
      </c>
      <c r="X22">
        <v>149.62100000000001</v>
      </c>
      <c r="Y22">
        <v>134.809</v>
      </c>
      <c r="Z22">
        <v>329.00099999999998</v>
      </c>
      <c r="AA22">
        <v>268.35000000000002</v>
      </c>
      <c r="AB22">
        <v>116.068</v>
      </c>
      <c r="AC22">
        <v>105.59</v>
      </c>
      <c r="AD22">
        <v>76.56</v>
      </c>
      <c r="AE22">
        <v>31.013000000000002</v>
      </c>
      <c r="AF22">
        <v>18.53</v>
      </c>
      <c r="AG22">
        <v>12.207000000000001</v>
      </c>
      <c r="AH22">
        <v>11.776</v>
      </c>
      <c r="AI22">
        <v>13.17</v>
      </c>
      <c r="AJ22">
        <v>13.987</v>
      </c>
      <c r="AK22">
        <v>15.321999999999999</v>
      </c>
      <c r="AL22">
        <v>11.375999999999999</v>
      </c>
      <c r="AM22">
        <v>9.0419999999999998</v>
      </c>
      <c r="AN22">
        <v>7.6870000000000003</v>
      </c>
      <c r="AO22">
        <v>7.4980000000000002</v>
      </c>
      <c r="AP22">
        <v>14.27</v>
      </c>
      <c r="AQ22">
        <v>41.945</v>
      </c>
      <c r="AR22">
        <v>23.395</v>
      </c>
      <c r="AS22">
        <v>17.611000000000001</v>
      </c>
      <c r="AT22">
        <v>15</v>
      </c>
      <c r="AU22">
        <v>12</v>
      </c>
      <c r="AV22">
        <v>10</v>
      </c>
      <c r="AW22">
        <v>8.968</v>
      </c>
    </row>
    <row r="23" spans="1:49" x14ac:dyDescent="0.35">
      <c r="A23" t="s">
        <v>5</v>
      </c>
      <c r="B23" t="s">
        <v>83</v>
      </c>
      <c r="D23" t="s">
        <v>64</v>
      </c>
    </row>
    <row r="24" spans="1:49" x14ac:dyDescent="0.35">
      <c r="A24" t="s">
        <v>5</v>
      </c>
      <c r="B24" t="s">
        <v>84</v>
      </c>
      <c r="C24" t="s">
        <v>85</v>
      </c>
      <c r="D24" t="s">
        <v>35</v>
      </c>
      <c r="F24" t="s">
        <v>86</v>
      </c>
      <c r="G24">
        <v>-39</v>
      </c>
      <c r="H24">
        <v>17.3</v>
      </c>
      <c r="I24">
        <v>1.7</v>
      </c>
      <c r="J24">
        <v>-2.7</v>
      </c>
      <c r="K24">
        <v>2.2000000000000002</v>
      </c>
      <c r="L24">
        <v>-9.4</v>
      </c>
      <c r="M24">
        <v>-6.5</v>
      </c>
      <c r="N24">
        <v>-1.5</v>
      </c>
      <c r="O24">
        <v>26.9</v>
      </c>
      <c r="P24">
        <v>-22</v>
      </c>
      <c r="Q24">
        <v>-15.8</v>
      </c>
      <c r="R24">
        <v>-3.8860000000000001</v>
      </c>
      <c r="S24">
        <v>21.140999999999998</v>
      </c>
      <c r="T24">
        <v>-19.125</v>
      </c>
      <c r="U24">
        <v>-26.768999999999998</v>
      </c>
      <c r="V24">
        <v>27.968</v>
      </c>
      <c r="W24">
        <v>27.763999999999999</v>
      </c>
      <c r="X24">
        <v>8.4320000000000004</v>
      </c>
      <c r="Y24">
        <v>-5.44</v>
      </c>
      <c r="Z24">
        <v>26.806000000000001</v>
      </c>
      <c r="AA24">
        <v>3.9649999999999999</v>
      </c>
      <c r="AB24">
        <v>13.853999999999999</v>
      </c>
      <c r="AC24">
        <v>-6.0720000000000001</v>
      </c>
      <c r="AD24">
        <v>13.358000000000001</v>
      </c>
      <c r="AE24">
        <v>9.4019999999999992</v>
      </c>
      <c r="AF24">
        <v>37.878</v>
      </c>
      <c r="AG24">
        <v>1.5589999999999999</v>
      </c>
      <c r="AH24">
        <v>48.11</v>
      </c>
      <c r="AI24">
        <v>45.65</v>
      </c>
      <c r="AJ24">
        <v>6.5410000000000004</v>
      </c>
      <c r="AK24">
        <v>-20.966999999999999</v>
      </c>
      <c r="AL24">
        <v>10.132</v>
      </c>
      <c r="AM24">
        <v>8.1750000000000007</v>
      </c>
      <c r="AN24">
        <v>9.2780000000000005</v>
      </c>
      <c r="AO24">
        <v>11.375</v>
      </c>
      <c r="AP24">
        <v>-21.704999999999998</v>
      </c>
      <c r="AQ24">
        <v>-23.091000000000001</v>
      </c>
      <c r="AR24">
        <v>18.437999999999999</v>
      </c>
      <c r="AS24">
        <v>2.895</v>
      </c>
      <c r="AT24">
        <v>2.0219999999999998</v>
      </c>
      <c r="AU24">
        <v>2.0379999999999998</v>
      </c>
      <c r="AV24">
        <v>3.073</v>
      </c>
      <c r="AW24">
        <v>1.4850000000000001</v>
      </c>
    </row>
    <row r="25" spans="1:49" x14ac:dyDescent="0.35">
      <c r="A25" t="s">
        <v>5</v>
      </c>
      <c r="B25" t="s">
        <v>87</v>
      </c>
      <c r="C25" t="s">
        <v>88</v>
      </c>
      <c r="D25" t="s">
        <v>35</v>
      </c>
      <c r="F25" t="s">
        <v>86</v>
      </c>
      <c r="G25">
        <v>-5</v>
      </c>
      <c r="H25">
        <v>-3.3</v>
      </c>
      <c r="I25">
        <v>-21.5</v>
      </c>
      <c r="J25">
        <v>-17.399999999999999</v>
      </c>
      <c r="K25">
        <v>30.4</v>
      </c>
      <c r="L25">
        <v>-14.5</v>
      </c>
      <c r="M25">
        <v>-25.7</v>
      </c>
      <c r="N25">
        <v>16.8</v>
      </c>
      <c r="O25">
        <v>2.1</v>
      </c>
      <c r="P25">
        <v>-5.6</v>
      </c>
      <c r="Q25">
        <v>12.9</v>
      </c>
      <c r="R25">
        <v>-14.257</v>
      </c>
      <c r="S25">
        <v>42.588999999999999</v>
      </c>
      <c r="T25">
        <v>-23.32</v>
      </c>
      <c r="U25">
        <v>-19.574000000000002</v>
      </c>
      <c r="V25">
        <v>15.717000000000001</v>
      </c>
      <c r="W25">
        <v>11.645</v>
      </c>
      <c r="X25">
        <v>39.356000000000002</v>
      </c>
      <c r="Y25">
        <v>-15.433999999999999</v>
      </c>
      <c r="Z25">
        <v>56.08</v>
      </c>
      <c r="AA25">
        <v>1.0229999999999999</v>
      </c>
      <c r="AB25">
        <v>2.0369999999999999</v>
      </c>
      <c r="AC25">
        <v>5.0549999999999997</v>
      </c>
      <c r="AD25">
        <v>32.941000000000003</v>
      </c>
      <c r="AE25">
        <v>-3.6480000000000001</v>
      </c>
      <c r="AF25">
        <v>38.682000000000002</v>
      </c>
      <c r="AG25">
        <v>-0.78</v>
      </c>
      <c r="AH25">
        <v>42.744</v>
      </c>
      <c r="AI25">
        <v>36.46</v>
      </c>
      <c r="AJ25">
        <v>18.614999999999998</v>
      </c>
      <c r="AK25">
        <v>-31.353000000000002</v>
      </c>
      <c r="AL25">
        <v>7.8550000000000004</v>
      </c>
      <c r="AM25">
        <v>21.468</v>
      </c>
      <c r="AN25">
        <v>13.105</v>
      </c>
      <c r="AO25">
        <v>11.018000000000001</v>
      </c>
      <c r="AP25">
        <v>-20.068000000000001</v>
      </c>
      <c r="AQ25">
        <v>-28.686</v>
      </c>
      <c r="AR25">
        <v>23.896999999999998</v>
      </c>
      <c r="AS25">
        <v>2.9169999999999998</v>
      </c>
      <c r="AT25">
        <v>2.0390000000000001</v>
      </c>
      <c r="AU25">
        <v>2.056</v>
      </c>
      <c r="AV25">
        <v>3.0910000000000002</v>
      </c>
      <c r="AW25">
        <v>1.502</v>
      </c>
    </row>
    <row r="26" spans="1:49" x14ac:dyDescent="0.35">
      <c r="A26" t="s">
        <v>5</v>
      </c>
      <c r="B26" t="s">
        <v>89</v>
      </c>
      <c r="C26" t="s">
        <v>90</v>
      </c>
      <c r="D26" t="s">
        <v>35</v>
      </c>
      <c r="F26" t="s">
        <v>86</v>
      </c>
      <c r="G26">
        <v>-3</v>
      </c>
      <c r="H26">
        <v>8</v>
      </c>
      <c r="I26">
        <v>-12.9</v>
      </c>
      <c r="J26">
        <v>4.5999999999999996</v>
      </c>
      <c r="K26">
        <v>12.5</v>
      </c>
      <c r="L26">
        <v>-5.9</v>
      </c>
      <c r="M26">
        <v>-33.799999999999997</v>
      </c>
      <c r="N26">
        <v>54.3</v>
      </c>
      <c r="O26">
        <v>7</v>
      </c>
      <c r="P26">
        <v>2.7</v>
      </c>
      <c r="Q26">
        <v>14.6</v>
      </c>
      <c r="R26">
        <v>0.186</v>
      </c>
      <c r="S26">
        <v>8.359</v>
      </c>
      <c r="T26">
        <v>-8.2750000000000004</v>
      </c>
      <c r="U26">
        <v>8.2360000000000007</v>
      </c>
      <c r="V26">
        <v>12.24</v>
      </c>
      <c r="W26">
        <v>10.698</v>
      </c>
      <c r="X26">
        <v>6.02</v>
      </c>
      <c r="Y26">
        <v>2.536</v>
      </c>
      <c r="Z26">
        <v>1.4259999999999999</v>
      </c>
      <c r="AA26">
        <v>1.6240000000000001</v>
      </c>
      <c r="AB26">
        <v>-2.5779999999999998</v>
      </c>
      <c r="AC26">
        <v>23.562000000000001</v>
      </c>
      <c r="AD26">
        <v>-1.931</v>
      </c>
      <c r="AE26">
        <v>13.537000000000001</v>
      </c>
      <c r="AF26">
        <v>28.148</v>
      </c>
      <c r="AG26">
        <v>14.255000000000001</v>
      </c>
      <c r="AH26">
        <v>17.501000000000001</v>
      </c>
      <c r="AI26">
        <v>10.105</v>
      </c>
      <c r="AJ26">
        <v>-2.64</v>
      </c>
      <c r="AK26">
        <v>-3.266</v>
      </c>
      <c r="AL26">
        <v>-5.4039999999999999</v>
      </c>
      <c r="AM26">
        <v>3.8380000000000001</v>
      </c>
      <c r="AN26">
        <v>6.4000000000000001E-2</v>
      </c>
      <c r="AO26">
        <v>-2.1150000000000002</v>
      </c>
      <c r="AP26">
        <v>6.7210000000000001</v>
      </c>
      <c r="AQ26">
        <v>1.956</v>
      </c>
      <c r="AR26">
        <v>1.208</v>
      </c>
      <c r="AS26">
        <v>2.2170000000000001</v>
      </c>
      <c r="AT26">
        <v>0.47</v>
      </c>
      <c r="AU26">
        <v>0.51200000000000001</v>
      </c>
      <c r="AV26">
        <v>2.1999999999999999E-2</v>
      </c>
      <c r="AW26">
        <v>0.28799999999999998</v>
      </c>
    </row>
    <row r="27" spans="1:49" x14ac:dyDescent="0.35">
      <c r="A27" t="s">
        <v>5</v>
      </c>
      <c r="B27" t="s">
        <v>91</v>
      </c>
      <c r="C27" t="s">
        <v>92</v>
      </c>
      <c r="D27" t="s">
        <v>35</v>
      </c>
      <c r="F27" t="s">
        <v>86</v>
      </c>
      <c r="G27" t="s">
        <v>82</v>
      </c>
      <c r="H27" t="s">
        <v>82</v>
      </c>
      <c r="I27" t="s">
        <v>82</v>
      </c>
      <c r="J27" t="s">
        <v>82</v>
      </c>
      <c r="K27" t="s">
        <v>82</v>
      </c>
      <c r="L27" t="s">
        <v>82</v>
      </c>
      <c r="M27" t="s">
        <v>82</v>
      </c>
      <c r="N27" t="s">
        <v>82</v>
      </c>
      <c r="O27" t="s">
        <v>82</v>
      </c>
      <c r="P27" t="s">
        <v>82</v>
      </c>
      <c r="Q27" t="s">
        <v>82</v>
      </c>
      <c r="R27" t="s">
        <v>82</v>
      </c>
      <c r="S27" t="s">
        <v>82</v>
      </c>
      <c r="T27" t="s">
        <v>82</v>
      </c>
      <c r="U27" t="s">
        <v>82</v>
      </c>
      <c r="V27" t="s">
        <v>82</v>
      </c>
      <c r="W27" t="s">
        <v>82</v>
      </c>
      <c r="X27" t="s">
        <v>82</v>
      </c>
      <c r="Y27">
        <v>2.536</v>
      </c>
      <c r="Z27">
        <v>1.4259999999999999</v>
      </c>
      <c r="AA27">
        <v>1.6240000000000001</v>
      </c>
      <c r="AB27">
        <v>-2.5779999999999998</v>
      </c>
      <c r="AC27">
        <v>23.562000000000001</v>
      </c>
      <c r="AD27">
        <v>-1.5780000000000001</v>
      </c>
      <c r="AE27">
        <v>13.226000000000001</v>
      </c>
      <c r="AF27">
        <v>30.262</v>
      </c>
      <c r="AG27">
        <v>9.9700000000000006</v>
      </c>
      <c r="AH27">
        <v>22.12</v>
      </c>
      <c r="AI27">
        <v>10.307</v>
      </c>
      <c r="AJ27">
        <v>-3.61</v>
      </c>
      <c r="AK27">
        <v>-3.4249999999999998</v>
      </c>
      <c r="AL27">
        <v>-4.8369999999999997</v>
      </c>
      <c r="AM27">
        <v>3.8290000000000002</v>
      </c>
      <c r="AN27">
        <v>-0.752</v>
      </c>
      <c r="AO27">
        <v>-2.9849999999999999</v>
      </c>
      <c r="AP27">
        <v>5.75</v>
      </c>
      <c r="AQ27">
        <v>1.546</v>
      </c>
      <c r="AR27">
        <v>2.1659999999999999</v>
      </c>
      <c r="AS27">
        <v>1.756</v>
      </c>
      <c r="AT27">
        <v>0.185</v>
      </c>
      <c r="AU27">
        <v>0.46800000000000003</v>
      </c>
      <c r="AV27">
        <v>-2.9000000000000001E-2</v>
      </c>
      <c r="AW27">
        <v>0.251</v>
      </c>
    </row>
    <row r="28" spans="1:49" x14ac:dyDescent="0.35">
      <c r="A28" t="s">
        <v>5</v>
      </c>
      <c r="B28" t="s">
        <v>93</v>
      </c>
      <c r="C28" t="s">
        <v>94</v>
      </c>
      <c r="D28" t="s">
        <v>95</v>
      </c>
    </row>
    <row r="29" spans="1:49" x14ac:dyDescent="0.35">
      <c r="A29" t="s">
        <v>5</v>
      </c>
      <c r="B29" t="s">
        <v>96</v>
      </c>
      <c r="C29" t="s">
        <v>97</v>
      </c>
      <c r="D29" t="s">
        <v>98</v>
      </c>
      <c r="E29" t="s">
        <v>99</v>
      </c>
    </row>
    <row r="30" spans="1:49" x14ac:dyDescent="0.35">
      <c r="A30" t="s">
        <v>5</v>
      </c>
      <c r="B30" t="s">
        <v>100</v>
      </c>
      <c r="C30" t="s">
        <v>101</v>
      </c>
      <c r="D30" t="s">
        <v>98</v>
      </c>
      <c r="E30" t="s">
        <v>99</v>
      </c>
      <c r="F30" t="s">
        <v>102</v>
      </c>
      <c r="G30">
        <v>8.8719999999999999</v>
      </c>
      <c r="H30">
        <v>9.1110000000000007</v>
      </c>
      <c r="I30">
        <v>9.3520000000000003</v>
      </c>
      <c r="J30">
        <v>9.5969999999999995</v>
      </c>
      <c r="K30">
        <v>9.8510000000000009</v>
      </c>
      <c r="L30">
        <v>11.101000000000001</v>
      </c>
      <c r="M30">
        <v>11.417999999999999</v>
      </c>
      <c r="N30">
        <v>11.71</v>
      </c>
      <c r="O30">
        <v>12.026999999999999</v>
      </c>
      <c r="P30">
        <v>12.356999999999999</v>
      </c>
      <c r="Q30">
        <v>12.686</v>
      </c>
      <c r="R30">
        <v>13.067</v>
      </c>
      <c r="S30">
        <v>13.459</v>
      </c>
      <c r="T30">
        <v>13.863</v>
      </c>
      <c r="U30">
        <v>14.279</v>
      </c>
      <c r="V30">
        <v>14.707000000000001</v>
      </c>
      <c r="W30">
        <v>15.148</v>
      </c>
      <c r="X30">
        <v>15.603</v>
      </c>
      <c r="Y30">
        <v>16.071000000000002</v>
      </c>
      <c r="Z30">
        <v>16.553000000000001</v>
      </c>
      <c r="AA30">
        <v>17.05</v>
      </c>
      <c r="AB30">
        <v>17.561</v>
      </c>
      <c r="AC30">
        <v>18.088000000000001</v>
      </c>
      <c r="AD30">
        <v>18.631</v>
      </c>
      <c r="AE30">
        <v>19.189</v>
      </c>
      <c r="AF30">
        <v>19.765000000000001</v>
      </c>
      <c r="AG30">
        <v>20.358000000000001</v>
      </c>
      <c r="AH30">
        <v>20.969000000000001</v>
      </c>
      <c r="AI30">
        <v>21.597999999999999</v>
      </c>
      <c r="AJ30">
        <v>22.245999999999999</v>
      </c>
      <c r="AK30">
        <v>22.913</v>
      </c>
      <c r="AL30">
        <v>23.600999999999999</v>
      </c>
      <c r="AM30">
        <v>24.309000000000001</v>
      </c>
      <c r="AN30">
        <v>25.038</v>
      </c>
      <c r="AO30">
        <v>25.789000000000001</v>
      </c>
      <c r="AP30">
        <v>26.562999999999999</v>
      </c>
      <c r="AQ30">
        <v>27.36</v>
      </c>
      <c r="AR30">
        <v>28.18</v>
      </c>
      <c r="AS30">
        <v>29.026</v>
      </c>
      <c r="AT30">
        <v>29.896999999999998</v>
      </c>
      <c r="AU30">
        <v>30.792999999999999</v>
      </c>
      <c r="AV30">
        <v>31.716999999999999</v>
      </c>
      <c r="AW30">
        <v>32.668999999999997</v>
      </c>
    </row>
    <row r="31" spans="1:49" x14ac:dyDescent="0.35">
      <c r="A31" t="s">
        <v>5</v>
      </c>
      <c r="B31" t="s">
        <v>103</v>
      </c>
      <c r="C31" t="s">
        <v>104</v>
      </c>
      <c r="D31" t="s">
        <v>31</v>
      </c>
      <c r="E31" t="s">
        <v>32</v>
      </c>
      <c r="F31" t="s">
        <v>105</v>
      </c>
      <c r="G31" t="s">
        <v>82</v>
      </c>
      <c r="H31" t="s">
        <v>82</v>
      </c>
      <c r="I31" t="s">
        <v>82</v>
      </c>
      <c r="J31" t="s">
        <v>82</v>
      </c>
      <c r="K31" t="s">
        <v>82</v>
      </c>
      <c r="L31" t="s">
        <v>82</v>
      </c>
      <c r="M31" t="s">
        <v>82</v>
      </c>
      <c r="N31" t="s">
        <v>82</v>
      </c>
      <c r="O31" t="s">
        <v>82</v>
      </c>
      <c r="P31" t="s">
        <v>82</v>
      </c>
      <c r="Q31" t="s">
        <v>82</v>
      </c>
      <c r="R31" t="s">
        <v>82</v>
      </c>
      <c r="S31" t="s">
        <v>82</v>
      </c>
      <c r="T31" t="s">
        <v>82</v>
      </c>
      <c r="U31" t="s">
        <v>82</v>
      </c>
      <c r="V31" t="s">
        <v>82</v>
      </c>
      <c r="W31">
        <v>0.4</v>
      </c>
      <c r="X31">
        <v>0.747</v>
      </c>
      <c r="Y31">
        <v>0.86399999999999999</v>
      </c>
      <c r="Z31">
        <v>8.6379999999999999</v>
      </c>
      <c r="AA31">
        <v>48.051000000000002</v>
      </c>
      <c r="AB31">
        <v>90.32</v>
      </c>
      <c r="AC31">
        <v>190.83600000000001</v>
      </c>
      <c r="AD31">
        <v>394.89800000000002</v>
      </c>
      <c r="AE31">
        <v>609.68600000000004</v>
      </c>
      <c r="AF31" s="27">
        <v>1085.8399999999999</v>
      </c>
      <c r="AG31" s="27">
        <v>1685.03</v>
      </c>
      <c r="AH31" s="27">
        <v>2124.71</v>
      </c>
      <c r="AI31" s="27">
        <v>3217.43</v>
      </c>
      <c r="AJ31" s="27">
        <v>2069.73</v>
      </c>
      <c r="AK31" s="27">
        <v>3295.49</v>
      </c>
      <c r="AL31" s="27">
        <v>4776.1499999999996</v>
      </c>
      <c r="AM31" s="27">
        <v>5053.8</v>
      </c>
      <c r="AN31" s="27">
        <v>4848.6099999999997</v>
      </c>
      <c r="AO31" s="27">
        <v>4402.6400000000003</v>
      </c>
      <c r="AP31" s="27">
        <v>3366.74</v>
      </c>
      <c r="AQ31" s="27">
        <v>2909.99</v>
      </c>
      <c r="AR31" s="27">
        <v>3525.54</v>
      </c>
      <c r="AS31" s="27">
        <v>4088.25</v>
      </c>
      <c r="AT31" s="27">
        <v>4899.63</v>
      </c>
      <c r="AU31" s="27">
        <v>5630.52</v>
      </c>
      <c r="AV31" s="27">
        <v>6346.54</v>
      </c>
      <c r="AW31" s="27">
        <v>7073.93</v>
      </c>
    </row>
    <row r="32" spans="1:49" x14ac:dyDescent="0.35">
      <c r="A32" t="s">
        <v>5</v>
      </c>
      <c r="B32" t="s">
        <v>103</v>
      </c>
      <c r="C32" t="s">
        <v>104</v>
      </c>
      <c r="D32" t="s">
        <v>70</v>
      </c>
      <c r="F32" t="s">
        <v>106</v>
      </c>
      <c r="G32" t="s">
        <v>82</v>
      </c>
      <c r="H32" t="s">
        <v>82</v>
      </c>
      <c r="I32" t="s">
        <v>82</v>
      </c>
      <c r="J32" t="s">
        <v>82</v>
      </c>
      <c r="K32" t="s">
        <v>82</v>
      </c>
      <c r="L32" t="s">
        <v>82</v>
      </c>
      <c r="M32" t="s">
        <v>82</v>
      </c>
      <c r="N32" t="s">
        <v>82</v>
      </c>
      <c r="O32" t="s">
        <v>82</v>
      </c>
      <c r="P32" t="s">
        <v>82</v>
      </c>
      <c r="Q32" t="s">
        <v>82</v>
      </c>
      <c r="R32" t="s">
        <v>82</v>
      </c>
      <c r="S32" t="s">
        <v>82</v>
      </c>
      <c r="T32" t="s">
        <v>82</v>
      </c>
      <c r="U32" t="s">
        <v>82</v>
      </c>
      <c r="V32" t="s">
        <v>82</v>
      </c>
      <c r="W32">
        <v>47.828000000000003</v>
      </c>
      <c r="X32">
        <v>42.664000000000001</v>
      </c>
      <c r="Y32">
        <v>33.793999999999997</v>
      </c>
      <c r="Z32">
        <v>50.304000000000002</v>
      </c>
      <c r="AA32">
        <v>52.42</v>
      </c>
      <c r="AB32">
        <v>45.822000000000003</v>
      </c>
      <c r="AC32">
        <v>35.079000000000001</v>
      </c>
      <c r="AD32">
        <v>37.304000000000002</v>
      </c>
      <c r="AE32">
        <v>37.156999999999996</v>
      </c>
      <c r="AF32">
        <v>44.125</v>
      </c>
      <c r="AG32">
        <v>50.171999999999997</v>
      </c>
      <c r="AH32">
        <v>45.823</v>
      </c>
      <c r="AI32">
        <v>50.94</v>
      </c>
      <c r="AJ32">
        <v>34.561</v>
      </c>
      <c r="AK32">
        <v>43.478999999999999</v>
      </c>
      <c r="AL32">
        <v>48.835000000000001</v>
      </c>
      <c r="AM32">
        <v>45.896000000000001</v>
      </c>
      <c r="AN32">
        <v>40.216000000000001</v>
      </c>
      <c r="AO32">
        <v>35.326999999999998</v>
      </c>
      <c r="AP32">
        <v>27.324000000000002</v>
      </c>
      <c r="AQ32">
        <v>18.658999999999999</v>
      </c>
      <c r="AR32">
        <v>17.135000000000002</v>
      </c>
      <c r="AS32">
        <v>16.577999999999999</v>
      </c>
      <c r="AT32">
        <v>17.170999999999999</v>
      </c>
      <c r="AU32">
        <v>17.148</v>
      </c>
      <c r="AV32">
        <v>17.146000000000001</v>
      </c>
      <c r="AW32">
        <v>17.123000000000001</v>
      </c>
    </row>
    <row r="33" spans="1:49" x14ac:dyDescent="0.35">
      <c r="A33" t="s">
        <v>5</v>
      </c>
      <c r="B33" t="s">
        <v>107</v>
      </c>
      <c r="C33" t="s">
        <v>108</v>
      </c>
      <c r="D33" t="s">
        <v>31</v>
      </c>
      <c r="E33" t="s">
        <v>32</v>
      </c>
      <c r="F33" t="s">
        <v>105</v>
      </c>
      <c r="G33" t="s">
        <v>82</v>
      </c>
      <c r="H33" t="s">
        <v>82</v>
      </c>
      <c r="I33" t="s">
        <v>82</v>
      </c>
      <c r="J33" t="s">
        <v>82</v>
      </c>
      <c r="K33" t="s">
        <v>82</v>
      </c>
      <c r="L33" t="s">
        <v>82</v>
      </c>
      <c r="M33" t="s">
        <v>82</v>
      </c>
      <c r="N33" t="s">
        <v>82</v>
      </c>
      <c r="O33" t="s">
        <v>82</v>
      </c>
      <c r="P33" t="s">
        <v>82</v>
      </c>
      <c r="Q33" t="s">
        <v>82</v>
      </c>
      <c r="R33" t="s">
        <v>82</v>
      </c>
      <c r="S33" t="s">
        <v>82</v>
      </c>
      <c r="T33" t="s">
        <v>82</v>
      </c>
      <c r="U33" t="s">
        <v>82</v>
      </c>
      <c r="V33" t="s">
        <v>82</v>
      </c>
      <c r="W33">
        <v>0.33900000000000002</v>
      </c>
      <c r="X33">
        <v>0.754</v>
      </c>
      <c r="Y33">
        <v>1.073</v>
      </c>
      <c r="Z33">
        <v>10.872999999999999</v>
      </c>
      <c r="AA33">
        <v>45.484000000000002</v>
      </c>
      <c r="AB33">
        <v>82.661000000000001</v>
      </c>
      <c r="AC33">
        <v>207.75299999999999</v>
      </c>
      <c r="AD33">
        <v>457.154</v>
      </c>
      <c r="AE33">
        <v>586.399</v>
      </c>
      <c r="AF33">
        <v>854.78499999999997</v>
      </c>
      <c r="AG33" s="27">
        <v>1288.3499999999999</v>
      </c>
      <c r="AH33" s="27">
        <v>1908.84</v>
      </c>
      <c r="AI33" s="27">
        <v>3498.79</v>
      </c>
      <c r="AJ33" s="27">
        <v>2510.1999999999998</v>
      </c>
      <c r="AK33" s="27">
        <v>3034.03</v>
      </c>
      <c r="AL33" s="27">
        <v>3927.55</v>
      </c>
      <c r="AM33" s="27">
        <v>4548.7700000000004</v>
      </c>
      <c r="AN33" s="27">
        <v>4888.6899999999996</v>
      </c>
      <c r="AO33" s="27">
        <v>5222.0200000000004</v>
      </c>
      <c r="AP33" s="27">
        <v>3773.71</v>
      </c>
      <c r="AQ33" s="27">
        <v>3690</v>
      </c>
      <c r="AR33" s="27">
        <v>4923.5</v>
      </c>
      <c r="AS33" s="27">
        <v>5450.81</v>
      </c>
      <c r="AT33" s="27">
        <v>6052.3</v>
      </c>
      <c r="AU33" s="27">
        <v>6805.53</v>
      </c>
      <c r="AV33" s="27">
        <v>7386.74</v>
      </c>
      <c r="AW33" s="27">
        <v>8084.01</v>
      </c>
    </row>
    <row r="34" spans="1:49" x14ac:dyDescent="0.35">
      <c r="A34" t="s">
        <v>5</v>
      </c>
      <c r="B34" t="s">
        <v>107</v>
      </c>
      <c r="C34" t="s">
        <v>108</v>
      </c>
      <c r="D34" t="s">
        <v>70</v>
      </c>
      <c r="F34" t="s">
        <v>109</v>
      </c>
      <c r="G34" t="s">
        <v>82</v>
      </c>
      <c r="H34" t="s">
        <v>82</v>
      </c>
      <c r="I34" t="s">
        <v>82</v>
      </c>
      <c r="J34" t="s">
        <v>82</v>
      </c>
      <c r="K34" t="s">
        <v>82</v>
      </c>
      <c r="L34" t="s">
        <v>82</v>
      </c>
      <c r="M34" t="s">
        <v>82</v>
      </c>
      <c r="N34" t="s">
        <v>82</v>
      </c>
      <c r="O34" t="s">
        <v>82</v>
      </c>
      <c r="P34" t="s">
        <v>82</v>
      </c>
      <c r="Q34" t="s">
        <v>82</v>
      </c>
      <c r="R34" t="s">
        <v>82</v>
      </c>
      <c r="S34" t="s">
        <v>82</v>
      </c>
      <c r="T34" t="s">
        <v>82</v>
      </c>
      <c r="U34" t="s">
        <v>82</v>
      </c>
      <c r="V34" t="s">
        <v>82</v>
      </c>
      <c r="W34">
        <v>40.603000000000002</v>
      </c>
      <c r="X34">
        <v>43.036999999999999</v>
      </c>
      <c r="Y34">
        <v>42</v>
      </c>
      <c r="Z34">
        <v>63.323</v>
      </c>
      <c r="AA34">
        <v>49.619</v>
      </c>
      <c r="AB34">
        <v>41.936999999999998</v>
      </c>
      <c r="AC34">
        <v>38.189</v>
      </c>
      <c r="AD34">
        <v>43.185000000000002</v>
      </c>
      <c r="AE34">
        <v>35.738</v>
      </c>
      <c r="AF34">
        <v>34.735999999999997</v>
      </c>
      <c r="AG34">
        <v>38.36</v>
      </c>
      <c r="AH34">
        <v>41.167000000000002</v>
      </c>
      <c r="AI34">
        <v>55.393999999999998</v>
      </c>
      <c r="AJ34">
        <v>41.915999999999997</v>
      </c>
      <c r="AK34">
        <v>40.029000000000003</v>
      </c>
      <c r="AL34">
        <v>40.158999999999999</v>
      </c>
      <c r="AM34">
        <v>41.308999999999997</v>
      </c>
      <c r="AN34">
        <v>40.548999999999999</v>
      </c>
      <c r="AO34">
        <v>41.902000000000001</v>
      </c>
      <c r="AP34">
        <v>30.626999999999999</v>
      </c>
      <c r="AQ34">
        <v>23.66</v>
      </c>
      <c r="AR34">
        <v>23.928999999999998</v>
      </c>
      <c r="AS34">
        <v>22.103999999999999</v>
      </c>
      <c r="AT34">
        <v>21.210999999999999</v>
      </c>
      <c r="AU34">
        <v>20.727</v>
      </c>
      <c r="AV34">
        <v>19.957000000000001</v>
      </c>
      <c r="AW34">
        <v>19.568000000000001</v>
      </c>
    </row>
    <row r="35" spans="1:49" x14ac:dyDescent="0.35">
      <c r="A35" t="s">
        <v>5</v>
      </c>
      <c r="B35" t="s">
        <v>110</v>
      </c>
      <c r="C35" t="s">
        <v>111</v>
      </c>
      <c r="D35" t="s">
        <v>31</v>
      </c>
      <c r="E35" t="s">
        <v>32</v>
      </c>
      <c r="F35" t="s">
        <v>105</v>
      </c>
      <c r="G35" t="s">
        <v>82</v>
      </c>
      <c r="H35" t="s">
        <v>82</v>
      </c>
      <c r="I35" t="s">
        <v>82</v>
      </c>
      <c r="J35" t="s">
        <v>82</v>
      </c>
      <c r="K35" t="s">
        <v>82</v>
      </c>
      <c r="L35" t="s">
        <v>82</v>
      </c>
      <c r="M35" t="s">
        <v>82</v>
      </c>
      <c r="N35" t="s">
        <v>82</v>
      </c>
      <c r="O35" t="s">
        <v>82</v>
      </c>
      <c r="P35" t="s">
        <v>82</v>
      </c>
      <c r="Q35" t="s">
        <v>82</v>
      </c>
      <c r="R35" t="s">
        <v>82</v>
      </c>
      <c r="S35" t="s">
        <v>82</v>
      </c>
      <c r="T35" t="s">
        <v>82</v>
      </c>
      <c r="U35" t="s">
        <v>82</v>
      </c>
      <c r="V35" t="s">
        <v>82</v>
      </c>
      <c r="W35">
        <v>0.06</v>
      </c>
      <c r="X35">
        <v>-7.0000000000000001E-3</v>
      </c>
      <c r="Y35">
        <v>-0.21</v>
      </c>
      <c r="Z35">
        <v>-2.2360000000000002</v>
      </c>
      <c r="AA35">
        <v>2.5670000000000002</v>
      </c>
      <c r="AB35">
        <v>7.6580000000000004</v>
      </c>
      <c r="AC35">
        <v>-16.917000000000002</v>
      </c>
      <c r="AD35">
        <v>-62.256</v>
      </c>
      <c r="AE35">
        <v>23.286999999999999</v>
      </c>
      <c r="AF35">
        <v>231.059</v>
      </c>
      <c r="AG35">
        <v>396.67700000000002</v>
      </c>
      <c r="AH35">
        <v>215.87</v>
      </c>
      <c r="AI35">
        <v>-281.35599999999999</v>
      </c>
      <c r="AJ35">
        <v>-440.464</v>
      </c>
      <c r="AK35">
        <v>261.46300000000002</v>
      </c>
      <c r="AL35">
        <v>848.60199999999998</v>
      </c>
      <c r="AM35">
        <v>505.03699999999998</v>
      </c>
      <c r="AN35">
        <v>-40.085000000000001</v>
      </c>
      <c r="AO35">
        <v>-819.375</v>
      </c>
      <c r="AP35">
        <v>-406.964</v>
      </c>
      <c r="AQ35">
        <v>-780.00699999999995</v>
      </c>
      <c r="AR35" s="27">
        <v>-1397.97</v>
      </c>
      <c r="AS35" s="27">
        <v>-1362.56</v>
      </c>
      <c r="AT35" s="27">
        <v>-1152.67</v>
      </c>
      <c r="AU35" s="27">
        <v>-1175.01</v>
      </c>
      <c r="AV35" s="27">
        <v>-1040.2</v>
      </c>
      <c r="AW35" s="27">
        <v>-1010.08</v>
      </c>
    </row>
    <row r="36" spans="1:49" x14ac:dyDescent="0.35">
      <c r="A36" t="s">
        <v>5</v>
      </c>
      <c r="B36" t="s">
        <v>110</v>
      </c>
      <c r="C36" t="s">
        <v>111</v>
      </c>
      <c r="D36" t="s">
        <v>70</v>
      </c>
      <c r="F36" t="s">
        <v>112</v>
      </c>
      <c r="G36" t="s">
        <v>82</v>
      </c>
      <c r="H36" t="s">
        <v>82</v>
      </c>
      <c r="I36" t="s">
        <v>82</v>
      </c>
      <c r="J36" t="s">
        <v>82</v>
      </c>
      <c r="K36" t="s">
        <v>82</v>
      </c>
      <c r="L36" t="s">
        <v>82</v>
      </c>
      <c r="M36" t="s">
        <v>82</v>
      </c>
      <c r="N36" t="s">
        <v>82</v>
      </c>
      <c r="O36" t="s">
        <v>82</v>
      </c>
      <c r="P36" t="s">
        <v>82</v>
      </c>
      <c r="Q36" t="s">
        <v>82</v>
      </c>
      <c r="R36" t="s">
        <v>82</v>
      </c>
      <c r="S36" t="s">
        <v>82</v>
      </c>
      <c r="T36" t="s">
        <v>82</v>
      </c>
      <c r="U36" t="s">
        <v>82</v>
      </c>
      <c r="V36" t="s">
        <v>82</v>
      </c>
      <c r="W36">
        <v>7.2249999999999996</v>
      </c>
      <c r="X36">
        <v>-0.372</v>
      </c>
      <c r="Y36">
        <v>-8.2059999999999995</v>
      </c>
      <c r="Z36">
        <v>-13.02</v>
      </c>
      <c r="AA36">
        <v>2.8</v>
      </c>
      <c r="AB36">
        <v>3.8849999999999998</v>
      </c>
      <c r="AC36">
        <v>-3.11</v>
      </c>
      <c r="AD36">
        <v>-5.8810000000000002</v>
      </c>
      <c r="AE36">
        <v>1.419</v>
      </c>
      <c r="AF36">
        <v>9.3889999999999993</v>
      </c>
      <c r="AG36">
        <v>11.811</v>
      </c>
      <c r="AH36">
        <v>4.6559999999999997</v>
      </c>
      <c r="AI36">
        <v>-4.4550000000000001</v>
      </c>
      <c r="AJ36">
        <v>-7.3550000000000004</v>
      </c>
      <c r="AK36">
        <v>3.45</v>
      </c>
      <c r="AL36">
        <v>8.6769999999999996</v>
      </c>
      <c r="AM36">
        <v>4.5860000000000003</v>
      </c>
      <c r="AN36">
        <v>-0.33200000000000002</v>
      </c>
      <c r="AO36">
        <v>-6.5750000000000002</v>
      </c>
      <c r="AP36">
        <v>-3.3029999999999999</v>
      </c>
      <c r="AQ36">
        <v>-5.0010000000000003</v>
      </c>
      <c r="AR36">
        <v>-6.7939999999999996</v>
      </c>
      <c r="AS36">
        <v>-5.5250000000000004</v>
      </c>
      <c r="AT36">
        <v>-4.04</v>
      </c>
      <c r="AU36">
        <v>-3.5790000000000002</v>
      </c>
      <c r="AV36">
        <v>-2.81</v>
      </c>
      <c r="AW36">
        <v>-2.4449999999999998</v>
      </c>
    </row>
    <row r="37" spans="1:49" x14ac:dyDescent="0.35">
      <c r="A37" t="s">
        <v>5</v>
      </c>
      <c r="B37" t="s">
        <v>113</v>
      </c>
      <c r="C37" t="s">
        <v>114</v>
      </c>
      <c r="D37" t="s">
        <v>31</v>
      </c>
      <c r="E37" t="s">
        <v>32</v>
      </c>
    </row>
    <row r="38" spans="1:49" x14ac:dyDescent="0.35">
      <c r="A38" t="s">
        <v>5</v>
      </c>
      <c r="B38" t="s">
        <v>113</v>
      </c>
      <c r="C38" t="s">
        <v>114</v>
      </c>
      <c r="D38" t="s">
        <v>61</v>
      </c>
    </row>
    <row r="39" spans="1:49" x14ac:dyDescent="0.35">
      <c r="A39" t="s">
        <v>5</v>
      </c>
      <c r="B39" t="s">
        <v>115</v>
      </c>
      <c r="C39" t="s">
        <v>116</v>
      </c>
      <c r="D39" t="s">
        <v>31</v>
      </c>
      <c r="E39" t="s">
        <v>32</v>
      </c>
      <c r="F39" t="s">
        <v>105</v>
      </c>
      <c r="G39" t="s">
        <v>82</v>
      </c>
      <c r="H39" t="s">
        <v>82</v>
      </c>
      <c r="I39" t="s">
        <v>82</v>
      </c>
      <c r="J39" t="s">
        <v>82</v>
      </c>
      <c r="K39" t="s">
        <v>82</v>
      </c>
      <c r="L39" t="s">
        <v>82</v>
      </c>
      <c r="M39" t="s">
        <v>82</v>
      </c>
      <c r="N39" t="s">
        <v>82</v>
      </c>
      <c r="O39" t="s">
        <v>82</v>
      </c>
      <c r="P39" t="s">
        <v>82</v>
      </c>
      <c r="Q39" t="s">
        <v>82</v>
      </c>
      <c r="R39" t="s">
        <v>82</v>
      </c>
      <c r="S39" t="s">
        <v>82</v>
      </c>
      <c r="T39" t="s">
        <v>82</v>
      </c>
      <c r="U39" t="s">
        <v>82</v>
      </c>
      <c r="V39" t="s">
        <v>82</v>
      </c>
      <c r="W39">
        <v>0.153</v>
      </c>
      <c r="X39">
        <v>0.11700000000000001</v>
      </c>
      <c r="Y39">
        <v>7.0000000000000001E-3</v>
      </c>
      <c r="Z39">
        <v>-0.68400000000000005</v>
      </c>
      <c r="AA39">
        <v>7.54</v>
      </c>
      <c r="AB39">
        <v>17.478000000000002</v>
      </c>
      <c r="AC39">
        <v>-1.385</v>
      </c>
      <c r="AD39">
        <v>-43.252000000000002</v>
      </c>
      <c r="AE39">
        <v>61.076000000000001</v>
      </c>
      <c r="AF39">
        <v>279.64299999999997</v>
      </c>
      <c r="AG39">
        <v>450.01600000000002</v>
      </c>
      <c r="AH39">
        <v>269.52800000000002</v>
      </c>
      <c r="AI39">
        <v>-158.69999999999999</v>
      </c>
      <c r="AJ39">
        <v>-337.32799999999997</v>
      </c>
      <c r="AK39">
        <v>350.99900000000002</v>
      </c>
      <c r="AL39">
        <v>943.25099999999998</v>
      </c>
      <c r="AM39">
        <v>610.322</v>
      </c>
      <c r="AN39">
        <v>59.02</v>
      </c>
      <c r="AO39">
        <v>-669.87900000000002</v>
      </c>
      <c r="AP39">
        <v>-158.494</v>
      </c>
      <c r="AQ39">
        <v>-350.00700000000001</v>
      </c>
      <c r="AR39">
        <v>-797.96500000000003</v>
      </c>
      <c r="AS39">
        <v>-614.60199999999998</v>
      </c>
      <c r="AT39">
        <v>-225.61199999999999</v>
      </c>
      <c r="AU39">
        <v>-29.436</v>
      </c>
      <c r="AV39">
        <v>265.47199999999998</v>
      </c>
      <c r="AW39">
        <v>437.40100000000001</v>
      </c>
    </row>
    <row r="40" spans="1:49" x14ac:dyDescent="0.35">
      <c r="A40" t="s">
        <v>5</v>
      </c>
      <c r="B40" t="s">
        <v>115</v>
      </c>
      <c r="C40" t="s">
        <v>116</v>
      </c>
      <c r="D40" t="s">
        <v>70</v>
      </c>
      <c r="F40" t="s">
        <v>117</v>
      </c>
      <c r="G40" t="s">
        <v>82</v>
      </c>
      <c r="H40" t="s">
        <v>82</v>
      </c>
      <c r="I40" t="s">
        <v>82</v>
      </c>
      <c r="J40" t="s">
        <v>82</v>
      </c>
      <c r="K40" t="s">
        <v>82</v>
      </c>
      <c r="L40" t="s">
        <v>82</v>
      </c>
      <c r="M40" t="s">
        <v>82</v>
      </c>
      <c r="N40" t="s">
        <v>82</v>
      </c>
      <c r="O40" t="s">
        <v>82</v>
      </c>
      <c r="P40" t="s">
        <v>82</v>
      </c>
      <c r="Q40" t="s">
        <v>82</v>
      </c>
      <c r="R40" t="s">
        <v>82</v>
      </c>
      <c r="S40" t="s">
        <v>82</v>
      </c>
      <c r="T40" t="s">
        <v>82</v>
      </c>
      <c r="U40" t="s">
        <v>82</v>
      </c>
      <c r="V40" t="s">
        <v>82</v>
      </c>
      <c r="W40">
        <v>18.364999999999998</v>
      </c>
      <c r="X40">
        <v>6.6630000000000003</v>
      </c>
      <c r="Y40">
        <v>0.27800000000000002</v>
      </c>
      <c r="Z40">
        <v>-3.9830000000000001</v>
      </c>
      <c r="AA40">
        <v>8.2260000000000009</v>
      </c>
      <c r="AB40">
        <v>8.8670000000000009</v>
      </c>
      <c r="AC40">
        <v>-0.255</v>
      </c>
      <c r="AD40">
        <v>-4.0860000000000003</v>
      </c>
      <c r="AE40">
        <v>3.722</v>
      </c>
      <c r="AF40">
        <v>11.364000000000001</v>
      </c>
      <c r="AG40">
        <v>13.398999999999999</v>
      </c>
      <c r="AH40">
        <v>5.8129999999999997</v>
      </c>
      <c r="AI40">
        <v>-2.5129999999999999</v>
      </c>
      <c r="AJ40">
        <v>-5.633</v>
      </c>
      <c r="AK40">
        <v>4.6310000000000002</v>
      </c>
      <c r="AL40">
        <v>9.6449999999999996</v>
      </c>
      <c r="AM40">
        <v>5.5430000000000001</v>
      </c>
      <c r="AN40">
        <v>0.49</v>
      </c>
      <c r="AO40">
        <v>-5.375</v>
      </c>
      <c r="AP40">
        <v>-1.286</v>
      </c>
      <c r="AQ40">
        <v>-2.2440000000000002</v>
      </c>
      <c r="AR40">
        <v>-3.8780000000000001</v>
      </c>
      <c r="AS40">
        <v>-2.492</v>
      </c>
      <c r="AT40">
        <v>-0.79100000000000004</v>
      </c>
      <c r="AU40">
        <v>-0.09</v>
      </c>
      <c r="AV40">
        <v>0.71699999999999997</v>
      </c>
      <c r="AW40">
        <v>1.0589999999999999</v>
      </c>
    </row>
    <row r="41" spans="1:49" x14ac:dyDescent="0.35">
      <c r="A41" t="s">
        <v>5</v>
      </c>
      <c r="B41" t="s">
        <v>118</v>
      </c>
      <c r="C41" t="s">
        <v>119</v>
      </c>
      <c r="D41" t="s">
        <v>31</v>
      </c>
      <c r="E41" t="s">
        <v>32</v>
      </c>
    </row>
    <row r="42" spans="1:49" x14ac:dyDescent="0.35">
      <c r="A42" t="s">
        <v>5</v>
      </c>
      <c r="B42" t="s">
        <v>118</v>
      </c>
      <c r="C42" t="s">
        <v>119</v>
      </c>
      <c r="D42" t="s">
        <v>70</v>
      </c>
    </row>
    <row r="43" spans="1:49" x14ac:dyDescent="0.35">
      <c r="A43" t="s">
        <v>5</v>
      </c>
      <c r="B43" t="s">
        <v>120</v>
      </c>
      <c r="C43" t="s">
        <v>121</v>
      </c>
      <c r="D43" t="s">
        <v>31</v>
      </c>
      <c r="E43" t="s">
        <v>32</v>
      </c>
      <c r="F43" t="s">
        <v>105</v>
      </c>
      <c r="G43" t="s">
        <v>82</v>
      </c>
      <c r="H43" t="s">
        <v>82</v>
      </c>
      <c r="I43" t="s">
        <v>82</v>
      </c>
      <c r="J43" t="s">
        <v>82</v>
      </c>
      <c r="K43" t="s">
        <v>82</v>
      </c>
      <c r="L43" t="s">
        <v>82</v>
      </c>
      <c r="M43" t="s">
        <v>82</v>
      </c>
      <c r="N43" t="s">
        <v>82</v>
      </c>
      <c r="O43" t="s">
        <v>82</v>
      </c>
      <c r="P43" t="s">
        <v>82</v>
      </c>
      <c r="Q43" t="s">
        <v>82</v>
      </c>
      <c r="R43" t="s">
        <v>82</v>
      </c>
      <c r="S43" t="s">
        <v>82</v>
      </c>
      <c r="T43" t="s">
        <v>82</v>
      </c>
      <c r="U43" t="s">
        <v>82</v>
      </c>
      <c r="V43" t="s">
        <v>82</v>
      </c>
      <c r="W43" t="s">
        <v>82</v>
      </c>
      <c r="X43" t="s">
        <v>82</v>
      </c>
      <c r="Y43" t="s">
        <v>82</v>
      </c>
      <c r="Z43" t="s">
        <v>82</v>
      </c>
      <c r="AA43">
        <v>95.83</v>
      </c>
      <c r="AB43">
        <v>201.15799999999999</v>
      </c>
      <c r="AC43">
        <v>385.96699999999998</v>
      </c>
      <c r="AD43">
        <v>727.16800000000001</v>
      </c>
      <c r="AE43">
        <v>852.47</v>
      </c>
      <c r="AF43">
        <v>879.41600000000005</v>
      </c>
      <c r="AG43">
        <v>627.93200000000002</v>
      </c>
      <c r="AH43">
        <v>744.928</v>
      </c>
      <c r="AI43" s="27">
        <v>1051.42</v>
      </c>
      <c r="AJ43" s="27">
        <v>1360.01</v>
      </c>
      <c r="AK43" s="27">
        <v>3357.02</v>
      </c>
      <c r="AL43" s="27">
        <v>3305.76</v>
      </c>
      <c r="AM43" s="27">
        <v>3246.9</v>
      </c>
      <c r="AN43" s="27">
        <v>3963.4</v>
      </c>
      <c r="AO43" s="27">
        <v>5067.3500000000004</v>
      </c>
      <c r="AP43" s="27">
        <v>8062.96</v>
      </c>
      <c r="AQ43" s="27">
        <v>11824.41</v>
      </c>
      <c r="AR43" s="27">
        <v>13388.26</v>
      </c>
      <c r="AS43" s="27">
        <v>16273.58</v>
      </c>
      <c r="AT43" s="27">
        <v>19132.5</v>
      </c>
      <c r="AU43" s="27">
        <v>21955.74</v>
      </c>
      <c r="AV43" s="27">
        <v>24411.41</v>
      </c>
      <c r="AW43" s="27">
        <v>27314.07</v>
      </c>
    </row>
    <row r="44" spans="1:49" s="28" customFormat="1" x14ac:dyDescent="0.35">
      <c r="A44" s="28" t="s">
        <v>5</v>
      </c>
      <c r="B44" s="28" t="s">
        <v>120</v>
      </c>
      <c r="C44" s="28" t="s">
        <v>121</v>
      </c>
      <c r="D44" s="28" t="s">
        <v>70</v>
      </c>
      <c r="F44" s="28" t="s">
        <v>122</v>
      </c>
      <c r="G44" s="28" t="s">
        <v>82</v>
      </c>
      <c r="H44" s="28" t="s">
        <v>82</v>
      </c>
      <c r="I44" s="28" t="s">
        <v>82</v>
      </c>
      <c r="J44" s="28" t="s">
        <v>82</v>
      </c>
      <c r="K44" s="28" t="s">
        <v>82</v>
      </c>
      <c r="L44" s="28" t="s">
        <v>82</v>
      </c>
      <c r="M44" s="28" t="s">
        <v>82</v>
      </c>
      <c r="N44" s="28" t="s">
        <v>82</v>
      </c>
      <c r="O44" s="28" t="s">
        <v>82</v>
      </c>
      <c r="P44" s="28" t="s">
        <v>82</v>
      </c>
      <c r="Q44" s="28" t="s">
        <v>82</v>
      </c>
      <c r="R44" s="28" t="s">
        <v>82</v>
      </c>
      <c r="S44" s="28" t="s">
        <v>82</v>
      </c>
      <c r="T44" s="28" t="s">
        <v>82</v>
      </c>
      <c r="U44" s="28" t="s">
        <v>82</v>
      </c>
      <c r="V44" s="28" t="s">
        <v>82</v>
      </c>
      <c r="W44" s="28" t="s">
        <v>82</v>
      </c>
      <c r="X44" s="28" t="s">
        <v>82</v>
      </c>
      <c r="Y44" s="28" t="s">
        <v>82</v>
      </c>
      <c r="Z44" s="28" t="s">
        <v>82</v>
      </c>
      <c r="AA44" s="28">
        <v>104.542</v>
      </c>
      <c r="AB44" s="28">
        <v>102.053</v>
      </c>
      <c r="AC44" s="28">
        <v>70.947999999999993</v>
      </c>
      <c r="AD44" s="28">
        <v>68.691999999999993</v>
      </c>
      <c r="AE44" s="28">
        <v>51.954000000000001</v>
      </c>
      <c r="AF44" s="28">
        <v>35.737000000000002</v>
      </c>
      <c r="AG44" s="28">
        <v>18.696999999999999</v>
      </c>
      <c r="AH44" s="28">
        <v>16.065999999999999</v>
      </c>
      <c r="AI44" s="28">
        <v>16.646999999999998</v>
      </c>
      <c r="AJ44" s="28">
        <v>22.71</v>
      </c>
      <c r="AK44" s="28">
        <v>44.290999999999997</v>
      </c>
      <c r="AL44" s="28">
        <v>33.801000000000002</v>
      </c>
      <c r="AM44" s="28">
        <v>29.486999999999998</v>
      </c>
      <c r="AN44" s="28">
        <v>32.874000000000002</v>
      </c>
      <c r="AO44" s="28">
        <v>40.661000000000001</v>
      </c>
      <c r="AP44" s="28">
        <v>65.438000000000002</v>
      </c>
      <c r="AQ44" s="28">
        <v>75.817999999999998</v>
      </c>
      <c r="AR44" s="28">
        <v>65.069000000000003</v>
      </c>
      <c r="AS44" s="28">
        <v>65.992000000000004</v>
      </c>
      <c r="AT44" s="28">
        <v>67.051000000000002</v>
      </c>
      <c r="AU44" s="28">
        <v>66.867999999999995</v>
      </c>
      <c r="AV44" s="28">
        <v>65.951999999999998</v>
      </c>
      <c r="AW44" s="28">
        <v>66.117000000000004</v>
      </c>
    </row>
    <row r="45" spans="1:49" x14ac:dyDescent="0.35">
      <c r="A45" t="s">
        <v>5</v>
      </c>
      <c r="B45" t="s">
        <v>123</v>
      </c>
      <c r="C45" t="s">
        <v>124</v>
      </c>
      <c r="D45" t="s">
        <v>31</v>
      </c>
      <c r="E45" t="s">
        <v>32</v>
      </c>
      <c r="F45" t="s">
        <v>105</v>
      </c>
      <c r="G45" t="s">
        <v>39</v>
      </c>
      <c r="H45" t="s">
        <v>39</v>
      </c>
      <c r="I45" t="s">
        <v>39</v>
      </c>
      <c r="J45" t="s">
        <v>39</v>
      </c>
      <c r="K45" t="s">
        <v>39</v>
      </c>
      <c r="L45" t="s">
        <v>39</v>
      </c>
      <c r="M45" t="s">
        <v>39</v>
      </c>
      <c r="N45" t="s">
        <v>39</v>
      </c>
      <c r="O45" t="s">
        <v>39</v>
      </c>
      <c r="P45" t="s">
        <v>39</v>
      </c>
      <c r="Q45" t="s">
        <v>39</v>
      </c>
      <c r="R45" t="s">
        <v>39</v>
      </c>
      <c r="S45" t="s">
        <v>39</v>
      </c>
      <c r="T45" t="s">
        <v>39</v>
      </c>
      <c r="U45">
        <v>1E-3</v>
      </c>
      <c r="V45">
        <v>1.4E-2</v>
      </c>
      <c r="W45">
        <v>0.83499999999999996</v>
      </c>
      <c r="X45">
        <v>1.752</v>
      </c>
      <c r="Y45">
        <v>2.556</v>
      </c>
      <c r="Z45">
        <v>17.170999999999999</v>
      </c>
      <c r="AA45">
        <v>91.665999999999997</v>
      </c>
      <c r="AB45">
        <v>197.11099999999999</v>
      </c>
      <c r="AC45">
        <v>544.01199999999994</v>
      </c>
      <c r="AD45" s="27">
        <v>1058.5899999999999</v>
      </c>
      <c r="AE45" s="27">
        <v>1640.82</v>
      </c>
      <c r="AF45" s="27">
        <v>2460.83</v>
      </c>
      <c r="AG45" s="27">
        <v>3358.54</v>
      </c>
      <c r="AH45" s="27">
        <v>4636.8</v>
      </c>
      <c r="AI45" s="27">
        <v>6316.16</v>
      </c>
      <c r="AJ45" s="27">
        <v>5988.68</v>
      </c>
      <c r="AK45" s="27">
        <v>7579.55</v>
      </c>
      <c r="AL45" s="27">
        <v>9780.1</v>
      </c>
      <c r="AM45" s="27">
        <v>11011.43</v>
      </c>
      <c r="AN45" s="27">
        <v>12056.3</v>
      </c>
      <c r="AO45" s="27">
        <v>12462.47</v>
      </c>
      <c r="AP45" s="27">
        <v>12321.46</v>
      </c>
      <c r="AQ45" s="27">
        <v>15595.71</v>
      </c>
      <c r="AR45" s="27">
        <v>20575.46</v>
      </c>
      <c r="AS45" s="27">
        <v>24660.1</v>
      </c>
      <c r="AT45" s="27">
        <v>28534.3</v>
      </c>
      <c r="AU45" s="27">
        <v>32834.61</v>
      </c>
      <c r="AV45" s="27">
        <v>37013.81</v>
      </c>
      <c r="AW45" s="27">
        <v>41311.89</v>
      </c>
    </row>
    <row r="46" spans="1:49" x14ac:dyDescent="0.35">
      <c r="A46" t="s">
        <v>5</v>
      </c>
      <c r="B46" t="s">
        <v>125</v>
      </c>
      <c r="C46" t="s">
        <v>126</v>
      </c>
      <c r="D46" t="s">
        <v>41</v>
      </c>
      <c r="E46" t="s">
        <v>32</v>
      </c>
      <c r="F46" t="s">
        <v>127</v>
      </c>
      <c r="G46">
        <v>7.0000000000000007E-2</v>
      </c>
      <c r="H46">
        <v>-0.183</v>
      </c>
      <c r="I46">
        <v>-0.49399999999999999</v>
      </c>
      <c r="J46">
        <v>-0.35899999999999999</v>
      </c>
      <c r="K46">
        <v>-0.17100000000000001</v>
      </c>
      <c r="L46">
        <v>0.19500000000000001</v>
      </c>
      <c r="M46">
        <v>-0.30299999999999999</v>
      </c>
      <c r="N46">
        <v>0.44700000000000001</v>
      </c>
      <c r="O46">
        <v>-0.46899999999999997</v>
      </c>
      <c r="P46">
        <v>-0.13200000000000001</v>
      </c>
      <c r="Q46">
        <v>-0.23599999999999999</v>
      </c>
      <c r="R46">
        <v>-0.57999999999999996</v>
      </c>
      <c r="S46">
        <v>-0.73499999999999999</v>
      </c>
      <c r="T46">
        <v>-0.66900000000000004</v>
      </c>
      <c r="U46">
        <v>-0.34</v>
      </c>
      <c r="V46">
        <v>-0.29499999999999998</v>
      </c>
      <c r="W46">
        <v>3.266</v>
      </c>
      <c r="X46">
        <v>-0.88400000000000001</v>
      </c>
      <c r="Y46">
        <v>-1.867</v>
      </c>
      <c r="Z46">
        <v>-1.71</v>
      </c>
      <c r="AA46">
        <v>0.79600000000000004</v>
      </c>
      <c r="AB46">
        <v>-1.431</v>
      </c>
      <c r="AC46">
        <v>-0.15</v>
      </c>
      <c r="AD46">
        <v>-0.72</v>
      </c>
      <c r="AE46">
        <v>0.68100000000000005</v>
      </c>
      <c r="AF46">
        <v>5.1379999999999999</v>
      </c>
      <c r="AG46">
        <v>10.69</v>
      </c>
      <c r="AH46">
        <v>10.581</v>
      </c>
      <c r="AI46">
        <v>7.194</v>
      </c>
      <c r="AJ46">
        <v>-7.5720000000000001</v>
      </c>
      <c r="AK46">
        <v>7.5060000000000002</v>
      </c>
      <c r="AL46">
        <v>13.085000000000001</v>
      </c>
      <c r="AM46">
        <v>13.853</v>
      </c>
      <c r="AN46">
        <v>8.3480000000000008</v>
      </c>
      <c r="AO46">
        <v>-3.7480000000000002</v>
      </c>
      <c r="AP46">
        <v>-10.273</v>
      </c>
      <c r="AQ46">
        <v>-4.9039999999999999</v>
      </c>
      <c r="AR46">
        <v>-5.9219999999999997</v>
      </c>
      <c r="AS46">
        <v>-6.242</v>
      </c>
      <c r="AT46">
        <v>-6.5990000000000002</v>
      </c>
      <c r="AU46">
        <v>-6.7279999999999998</v>
      </c>
      <c r="AV46">
        <v>-6.649</v>
      </c>
      <c r="AW46">
        <v>-6.3680000000000003</v>
      </c>
    </row>
    <row r="47" spans="1:49" x14ac:dyDescent="0.35">
      <c r="A47" t="s">
        <v>5</v>
      </c>
      <c r="B47" t="s">
        <v>125</v>
      </c>
      <c r="C47" t="s">
        <v>126</v>
      </c>
      <c r="D47" t="s">
        <v>70</v>
      </c>
      <c r="F47" t="s">
        <v>128</v>
      </c>
      <c r="G47">
        <v>1.1759999999999999</v>
      </c>
      <c r="H47">
        <v>-3.2970000000000002</v>
      </c>
      <c r="I47">
        <v>-8.9039999999999999</v>
      </c>
      <c r="J47">
        <v>-6.2080000000000002</v>
      </c>
      <c r="K47">
        <v>-2.7839999999999998</v>
      </c>
      <c r="L47">
        <v>2.58</v>
      </c>
      <c r="M47">
        <v>-4.282</v>
      </c>
      <c r="N47">
        <v>5.5259999999999998</v>
      </c>
      <c r="O47">
        <v>-5.3449999999999998</v>
      </c>
      <c r="P47">
        <v>-1.2929999999999999</v>
      </c>
      <c r="Q47">
        <v>-2.0960000000000001</v>
      </c>
      <c r="R47">
        <v>-5.3220000000000001</v>
      </c>
      <c r="S47">
        <v>-8.75</v>
      </c>
      <c r="T47">
        <v>-10.968</v>
      </c>
      <c r="U47">
        <v>-7.657</v>
      </c>
      <c r="V47">
        <v>-5.327</v>
      </c>
      <c r="W47">
        <v>49.98</v>
      </c>
      <c r="X47">
        <v>-11.510999999999999</v>
      </c>
      <c r="Y47">
        <v>-28.696999999999999</v>
      </c>
      <c r="Z47">
        <v>-27.797999999999998</v>
      </c>
      <c r="AA47">
        <v>8.7149999999999999</v>
      </c>
      <c r="AB47">
        <v>-16.013000000000002</v>
      </c>
      <c r="AC47">
        <v>-1.2010000000000001</v>
      </c>
      <c r="AD47">
        <v>-5.0709999999999997</v>
      </c>
      <c r="AE47">
        <v>3.468</v>
      </c>
      <c r="AF47">
        <v>18.198</v>
      </c>
      <c r="AG47">
        <v>25.58</v>
      </c>
      <c r="AH47">
        <v>17.504000000000001</v>
      </c>
      <c r="AI47">
        <v>8.5459999999999994</v>
      </c>
      <c r="AJ47">
        <v>-10.029999999999999</v>
      </c>
      <c r="AK47">
        <v>9.1010000000000009</v>
      </c>
      <c r="AL47">
        <v>12.567</v>
      </c>
      <c r="AM47">
        <v>12.010999999999999</v>
      </c>
      <c r="AN47">
        <v>6.6829999999999998</v>
      </c>
      <c r="AO47">
        <v>-2.956</v>
      </c>
      <c r="AP47">
        <v>-9.9770000000000003</v>
      </c>
      <c r="AQ47">
        <v>-5.1440000000000001</v>
      </c>
      <c r="AR47">
        <v>-4.7750000000000004</v>
      </c>
      <c r="AS47">
        <v>-4.5149999999999997</v>
      </c>
      <c r="AT47">
        <v>-4.7039999999999997</v>
      </c>
      <c r="AU47">
        <v>-4.6349999999999998</v>
      </c>
      <c r="AV47">
        <v>-4.4210000000000003</v>
      </c>
      <c r="AW47">
        <v>-4.1230000000000002</v>
      </c>
    </row>
    <row r="48" spans="1:49" x14ac:dyDescent="0.35">
      <c r="A48" t="s">
        <v>6</v>
      </c>
      <c r="B48" t="s">
        <v>29</v>
      </c>
      <c r="C48" t="s">
        <v>30</v>
      </c>
      <c r="D48" t="s">
        <v>31</v>
      </c>
      <c r="E48" t="s">
        <v>32</v>
      </c>
      <c r="F48" t="s">
        <v>129</v>
      </c>
      <c r="G48">
        <v>10.837</v>
      </c>
      <c r="H48">
        <v>11.721</v>
      </c>
      <c r="I48">
        <v>13.581</v>
      </c>
      <c r="J48">
        <v>15.047000000000001</v>
      </c>
      <c r="K48">
        <v>16.027999999999999</v>
      </c>
      <c r="L48">
        <v>17.260999999999999</v>
      </c>
      <c r="M48">
        <v>18.748000000000001</v>
      </c>
      <c r="N48">
        <v>21.54</v>
      </c>
      <c r="O48">
        <v>26.584</v>
      </c>
      <c r="P48">
        <v>27.824999999999999</v>
      </c>
      <c r="Q48">
        <v>30.27</v>
      </c>
      <c r="R48">
        <v>32.158000000000001</v>
      </c>
      <c r="S48">
        <v>32.091000000000001</v>
      </c>
      <c r="T48">
        <v>33.383000000000003</v>
      </c>
      <c r="U48">
        <v>33.119999999999997</v>
      </c>
      <c r="V48">
        <v>35.448999999999998</v>
      </c>
      <c r="W48">
        <v>37.515999999999998</v>
      </c>
      <c r="X48">
        <v>40.527000000000001</v>
      </c>
      <c r="Y48">
        <v>40.819000000000003</v>
      </c>
      <c r="Z48">
        <v>44.765999999999998</v>
      </c>
      <c r="AA48">
        <v>45.655000000000001</v>
      </c>
      <c r="AB48">
        <v>45.77</v>
      </c>
      <c r="AC48">
        <v>48.548000000000002</v>
      </c>
      <c r="AD48">
        <v>50.792999999999999</v>
      </c>
      <c r="AE48">
        <v>52.167999999999999</v>
      </c>
      <c r="AF48">
        <v>54.545000000000002</v>
      </c>
      <c r="AG48">
        <v>59.106999999999999</v>
      </c>
      <c r="AH48">
        <v>64.001000000000005</v>
      </c>
      <c r="AI48">
        <v>67.995999999999995</v>
      </c>
      <c r="AJ48">
        <v>62.792999999999999</v>
      </c>
      <c r="AK48">
        <v>68.17</v>
      </c>
      <c r="AL48">
        <v>72.293000000000006</v>
      </c>
      <c r="AM48">
        <v>75.515000000000001</v>
      </c>
      <c r="AN48">
        <v>84.081000000000003</v>
      </c>
      <c r="AO48">
        <v>87.569000000000003</v>
      </c>
      <c r="AP48">
        <v>86.081000000000003</v>
      </c>
      <c r="AQ48">
        <v>89.775000000000006</v>
      </c>
      <c r="AR48">
        <v>93.795000000000002</v>
      </c>
      <c r="AS48">
        <v>98.319000000000003</v>
      </c>
      <c r="AT48">
        <v>102.803</v>
      </c>
      <c r="AU48">
        <v>107.22199999999999</v>
      </c>
      <c r="AV48">
        <v>111.788</v>
      </c>
      <c r="AW48">
        <v>116.46</v>
      </c>
    </row>
    <row r="49" spans="1:49" x14ac:dyDescent="0.35">
      <c r="A49" t="s">
        <v>6</v>
      </c>
      <c r="B49" t="s">
        <v>29</v>
      </c>
      <c r="C49" t="s">
        <v>34</v>
      </c>
      <c r="D49" t="s">
        <v>35</v>
      </c>
      <c r="F49" t="s">
        <v>36</v>
      </c>
      <c r="G49">
        <v>12.02</v>
      </c>
      <c r="H49">
        <v>8.1539999999999999</v>
      </c>
      <c r="I49">
        <v>15.874000000000001</v>
      </c>
      <c r="J49">
        <v>10.792999999999999</v>
      </c>
      <c r="K49">
        <v>6.5170000000000003</v>
      </c>
      <c r="L49">
        <v>7.6950000000000003</v>
      </c>
      <c r="M49">
        <v>8.6159999999999997</v>
      </c>
      <c r="N49">
        <v>14.89</v>
      </c>
      <c r="O49">
        <v>23.42</v>
      </c>
      <c r="P49">
        <v>4.665</v>
      </c>
      <c r="Q49">
        <v>8.7870000000000008</v>
      </c>
      <c r="R49">
        <v>6.2370000000000001</v>
      </c>
      <c r="S49">
        <v>-0.20799999999999999</v>
      </c>
      <c r="T49">
        <v>4.0270000000000001</v>
      </c>
      <c r="U49">
        <v>-0.78600000000000003</v>
      </c>
      <c r="V49">
        <v>7.03</v>
      </c>
      <c r="W49">
        <v>5.83</v>
      </c>
      <c r="X49">
        <v>8.0269999999999992</v>
      </c>
      <c r="Y49">
        <v>0.72099999999999997</v>
      </c>
      <c r="Z49">
        <v>9.6669999999999998</v>
      </c>
      <c r="AA49">
        <v>1.9870000000000001</v>
      </c>
      <c r="AB49">
        <v>0.25</v>
      </c>
      <c r="AC49">
        <v>6.07</v>
      </c>
      <c r="AD49">
        <v>4.625</v>
      </c>
      <c r="AE49">
        <v>2.706</v>
      </c>
      <c r="AF49">
        <v>4.556</v>
      </c>
      <c r="AG49">
        <v>8.3640000000000008</v>
      </c>
      <c r="AH49">
        <v>8.2799999999999994</v>
      </c>
      <c r="AI49">
        <v>6.242</v>
      </c>
      <c r="AJ49">
        <v>-7.6529999999999996</v>
      </c>
      <c r="AK49">
        <v>8.5640000000000001</v>
      </c>
      <c r="AL49">
        <v>6.048</v>
      </c>
      <c r="AM49">
        <v>4.4560000000000004</v>
      </c>
      <c r="AN49">
        <v>11.343999999999999</v>
      </c>
      <c r="AO49">
        <v>4.149</v>
      </c>
      <c r="AP49">
        <v>-1.7</v>
      </c>
      <c r="AQ49">
        <v>4.2919999999999998</v>
      </c>
      <c r="AR49">
        <v>4.4770000000000003</v>
      </c>
      <c r="AS49">
        <v>4.8230000000000004</v>
      </c>
      <c r="AT49">
        <v>4.5609999999999999</v>
      </c>
      <c r="AU49">
        <v>4.298</v>
      </c>
      <c r="AV49">
        <v>4.258</v>
      </c>
      <c r="AW49">
        <v>4.18</v>
      </c>
    </row>
    <row r="50" spans="1:49" x14ac:dyDescent="0.35">
      <c r="A50" t="s">
        <v>6</v>
      </c>
      <c r="B50" t="s">
        <v>37</v>
      </c>
      <c r="C50" t="s">
        <v>38</v>
      </c>
      <c r="D50" t="s">
        <v>31</v>
      </c>
      <c r="E50" t="s">
        <v>32</v>
      </c>
      <c r="F50" t="s">
        <v>129</v>
      </c>
      <c r="G50">
        <v>0.879</v>
      </c>
      <c r="H50">
        <v>0.91800000000000004</v>
      </c>
      <c r="I50">
        <v>1.173</v>
      </c>
      <c r="J50">
        <v>1.399</v>
      </c>
      <c r="K50">
        <v>1.823</v>
      </c>
      <c r="L50">
        <v>2.419</v>
      </c>
      <c r="M50">
        <v>2.8149999999999999</v>
      </c>
      <c r="N50">
        <v>3.7839999999999998</v>
      </c>
      <c r="O50">
        <v>5.8869999999999996</v>
      </c>
      <c r="P50">
        <v>6.54</v>
      </c>
      <c r="Q50">
        <v>7.0519999999999996</v>
      </c>
      <c r="R50">
        <v>7.9710000000000001</v>
      </c>
      <c r="S50">
        <v>8.7479999999999993</v>
      </c>
      <c r="T50">
        <v>10.08</v>
      </c>
      <c r="U50">
        <v>11.433999999999999</v>
      </c>
      <c r="V50">
        <v>13.114000000000001</v>
      </c>
      <c r="W50">
        <v>16.114999999999998</v>
      </c>
      <c r="X50">
        <v>18.327999999999999</v>
      </c>
      <c r="Y50">
        <v>20.244</v>
      </c>
      <c r="Z50">
        <v>25.361000000000001</v>
      </c>
      <c r="AA50">
        <v>29.530999999999999</v>
      </c>
      <c r="AB50">
        <v>32.066000000000003</v>
      </c>
      <c r="AC50">
        <v>34.415999999999997</v>
      </c>
      <c r="AD50">
        <v>37.180999999999997</v>
      </c>
      <c r="AE50">
        <v>42.036999999999999</v>
      </c>
      <c r="AF50">
        <v>50.752000000000002</v>
      </c>
      <c r="AG50">
        <v>59.106999999999999</v>
      </c>
      <c r="AH50">
        <v>67.153000000000006</v>
      </c>
      <c r="AI50">
        <v>74.721000000000004</v>
      </c>
      <c r="AJ50">
        <v>73.462000000000003</v>
      </c>
      <c r="AK50">
        <v>93.39</v>
      </c>
      <c r="AL50">
        <v>104.57299999999999</v>
      </c>
      <c r="AM50">
        <v>111.896</v>
      </c>
      <c r="AN50">
        <v>124.31100000000001</v>
      </c>
      <c r="AO50">
        <v>145.86799999999999</v>
      </c>
      <c r="AP50">
        <v>145.923</v>
      </c>
      <c r="AQ50">
        <v>169.68799999999999</v>
      </c>
      <c r="AR50">
        <v>180.321</v>
      </c>
      <c r="AS50">
        <v>192.23099999999999</v>
      </c>
      <c r="AT50">
        <v>204.62799999999999</v>
      </c>
      <c r="AU50">
        <v>217.47399999999999</v>
      </c>
      <c r="AV50">
        <v>231.04499999999999</v>
      </c>
      <c r="AW50">
        <v>245.50899999999999</v>
      </c>
    </row>
    <row r="51" spans="1:49" x14ac:dyDescent="0.35">
      <c r="A51" t="s">
        <v>6</v>
      </c>
      <c r="B51" t="s">
        <v>37</v>
      </c>
      <c r="C51" t="s">
        <v>40</v>
      </c>
      <c r="D51" t="s">
        <v>41</v>
      </c>
      <c r="E51" t="s">
        <v>32</v>
      </c>
      <c r="F51" t="s">
        <v>42</v>
      </c>
      <c r="G51">
        <v>1.175</v>
      </c>
      <c r="H51">
        <v>1.038</v>
      </c>
      <c r="I51">
        <v>1.095</v>
      </c>
      <c r="J51">
        <v>1.21</v>
      </c>
      <c r="K51">
        <v>1.2010000000000001</v>
      </c>
      <c r="L51">
        <v>1.1180000000000001</v>
      </c>
      <c r="M51">
        <v>1.516</v>
      </c>
      <c r="N51">
        <v>2.3759999999999999</v>
      </c>
      <c r="O51">
        <v>3.0840000000000001</v>
      </c>
      <c r="P51">
        <v>3.444</v>
      </c>
      <c r="Q51">
        <v>3.8029999999999999</v>
      </c>
      <c r="R51">
        <v>3.806</v>
      </c>
      <c r="S51">
        <v>3.9319999999999999</v>
      </c>
      <c r="T51">
        <v>3.9609999999999999</v>
      </c>
      <c r="U51">
        <v>4.2610000000000001</v>
      </c>
      <c r="V51">
        <v>4.7320000000000002</v>
      </c>
      <c r="W51">
        <v>4.8810000000000002</v>
      </c>
      <c r="X51">
        <v>5.024</v>
      </c>
      <c r="Y51">
        <v>4.819</v>
      </c>
      <c r="Z51">
        <v>5.4850000000000003</v>
      </c>
      <c r="AA51">
        <v>5.8040000000000003</v>
      </c>
      <c r="AB51">
        <v>5.516</v>
      </c>
      <c r="AC51">
        <v>5.4560000000000004</v>
      </c>
      <c r="AD51">
        <v>7.5380000000000003</v>
      </c>
      <c r="AE51">
        <v>8.9689999999999994</v>
      </c>
      <c r="AF51">
        <v>10.026999999999999</v>
      </c>
      <c r="AG51">
        <v>10.164999999999999</v>
      </c>
      <c r="AH51">
        <v>10.942</v>
      </c>
      <c r="AI51">
        <v>11.028</v>
      </c>
      <c r="AJ51">
        <v>10.317</v>
      </c>
      <c r="AK51">
        <v>13.755000000000001</v>
      </c>
      <c r="AL51">
        <v>15.334</v>
      </c>
      <c r="AM51">
        <v>14.701000000000001</v>
      </c>
      <c r="AN51">
        <v>14.814</v>
      </c>
      <c r="AO51">
        <v>16.259</v>
      </c>
      <c r="AP51">
        <v>14.435</v>
      </c>
      <c r="AQ51">
        <v>15.568</v>
      </c>
      <c r="AR51">
        <v>16.725000000000001</v>
      </c>
      <c r="AS51">
        <v>17.538</v>
      </c>
      <c r="AT51">
        <v>18.218</v>
      </c>
      <c r="AU51">
        <v>18.914000000000001</v>
      </c>
      <c r="AV51">
        <v>19.61</v>
      </c>
      <c r="AW51">
        <v>20.38</v>
      </c>
    </row>
    <row r="52" spans="1:49" x14ac:dyDescent="0.35">
      <c r="A52" t="s">
        <v>6</v>
      </c>
      <c r="B52" t="s">
        <v>37</v>
      </c>
      <c r="C52" t="s">
        <v>43</v>
      </c>
      <c r="D52" t="s">
        <v>44</v>
      </c>
      <c r="E52" t="s">
        <v>32</v>
      </c>
      <c r="F52" t="s">
        <v>42</v>
      </c>
      <c r="G52">
        <v>1.7889999999999999</v>
      </c>
      <c r="H52">
        <v>2.1150000000000002</v>
      </c>
      <c r="I52">
        <v>2.6030000000000002</v>
      </c>
      <c r="J52">
        <v>2.9980000000000002</v>
      </c>
      <c r="K52">
        <v>3.3069999999999999</v>
      </c>
      <c r="L52">
        <v>3.6749999999999998</v>
      </c>
      <c r="M52">
        <v>4.0720000000000001</v>
      </c>
      <c r="N52">
        <v>4.798</v>
      </c>
      <c r="O52">
        <v>6.1289999999999996</v>
      </c>
      <c r="P52">
        <v>6.665</v>
      </c>
      <c r="Q52">
        <v>7.5190000000000001</v>
      </c>
      <c r="R52">
        <v>8.2530000000000001</v>
      </c>
      <c r="S52">
        <v>8.4239999999999995</v>
      </c>
      <c r="T52">
        <v>8.9719999999999995</v>
      </c>
      <c r="U52">
        <v>9.0909999999999993</v>
      </c>
      <c r="V52">
        <v>9.9329999999999998</v>
      </c>
      <c r="W52">
        <v>10.702999999999999</v>
      </c>
      <c r="X52">
        <v>11.760999999999999</v>
      </c>
      <c r="Y52">
        <v>11.974</v>
      </c>
      <c r="Z52">
        <v>13.333</v>
      </c>
      <c r="AA52">
        <v>13.907</v>
      </c>
      <c r="AB52">
        <v>14.259</v>
      </c>
      <c r="AC52">
        <v>15.356999999999999</v>
      </c>
      <c r="AD52">
        <v>16.388000000000002</v>
      </c>
      <c r="AE52">
        <v>17.294</v>
      </c>
      <c r="AF52">
        <v>18.664000000000001</v>
      </c>
      <c r="AG52">
        <v>20.847000000000001</v>
      </c>
      <c r="AH52">
        <v>23.172999999999998</v>
      </c>
      <c r="AI52">
        <v>25.103000000000002</v>
      </c>
      <c r="AJ52">
        <v>23.358000000000001</v>
      </c>
      <c r="AK52">
        <v>25.667999999999999</v>
      </c>
      <c r="AL52">
        <v>27.782</v>
      </c>
      <c r="AM52">
        <v>29.555</v>
      </c>
      <c r="AN52">
        <v>33.439</v>
      </c>
      <c r="AO52">
        <v>35.451999999999998</v>
      </c>
      <c r="AP52">
        <v>35.226999999999997</v>
      </c>
      <c r="AQ52">
        <v>37.207000000000001</v>
      </c>
      <c r="AR52">
        <v>39.549999999999997</v>
      </c>
      <c r="AS52">
        <v>42.262999999999998</v>
      </c>
      <c r="AT52">
        <v>45.133000000000003</v>
      </c>
      <c r="AU52">
        <v>48.063000000000002</v>
      </c>
      <c r="AV52">
        <v>51.151000000000003</v>
      </c>
      <c r="AW52">
        <v>54.314</v>
      </c>
    </row>
    <row r="53" spans="1:49" x14ac:dyDescent="0.35">
      <c r="A53" t="s">
        <v>6</v>
      </c>
      <c r="B53" t="s">
        <v>45</v>
      </c>
      <c r="C53" t="s">
        <v>46</v>
      </c>
      <c r="D53" t="s">
        <v>47</v>
      </c>
      <c r="F53" t="s">
        <v>48</v>
      </c>
      <c r="G53">
        <v>8.1140000000000008</v>
      </c>
      <c r="H53">
        <v>7.8289999999999997</v>
      </c>
      <c r="I53">
        <v>8.6329999999999991</v>
      </c>
      <c r="J53">
        <v>9.2989999999999995</v>
      </c>
      <c r="K53">
        <v>11.374000000000001</v>
      </c>
      <c r="L53">
        <v>14.013999999999999</v>
      </c>
      <c r="M53">
        <v>15.013999999999999</v>
      </c>
      <c r="N53">
        <v>17.568000000000001</v>
      </c>
      <c r="O53">
        <v>22.146000000000001</v>
      </c>
      <c r="P53">
        <v>23.503</v>
      </c>
      <c r="Q53">
        <v>23.298999999999999</v>
      </c>
      <c r="R53">
        <v>24.786999999999999</v>
      </c>
      <c r="S53">
        <v>27.26</v>
      </c>
      <c r="T53">
        <v>30.196000000000002</v>
      </c>
      <c r="U53">
        <v>34.523000000000003</v>
      </c>
      <c r="V53">
        <v>36.994999999999997</v>
      </c>
      <c r="W53">
        <v>42.956000000000003</v>
      </c>
      <c r="X53">
        <v>45.223999999999997</v>
      </c>
      <c r="Y53">
        <v>49.594000000000001</v>
      </c>
      <c r="Z53">
        <v>56.654000000000003</v>
      </c>
      <c r="AA53">
        <v>64.682000000000002</v>
      </c>
      <c r="AB53">
        <v>70.06</v>
      </c>
      <c r="AC53">
        <v>70.891000000000005</v>
      </c>
      <c r="AD53">
        <v>73.200999999999993</v>
      </c>
      <c r="AE53">
        <v>80.58</v>
      </c>
      <c r="AF53">
        <v>93.046999999999997</v>
      </c>
      <c r="AG53">
        <v>100</v>
      </c>
      <c r="AH53">
        <v>104.92400000000001</v>
      </c>
      <c r="AI53">
        <v>109.89</v>
      </c>
      <c r="AJ53">
        <v>116.992</v>
      </c>
      <c r="AK53">
        <v>136.99600000000001</v>
      </c>
      <c r="AL53">
        <v>144.65199999999999</v>
      </c>
      <c r="AM53">
        <v>148.178</v>
      </c>
      <c r="AN53">
        <v>147.84700000000001</v>
      </c>
      <c r="AO53">
        <v>166.57400000000001</v>
      </c>
      <c r="AP53">
        <v>169.51900000000001</v>
      </c>
      <c r="AQ53">
        <v>189.01400000000001</v>
      </c>
      <c r="AR53">
        <v>192.25</v>
      </c>
      <c r="AS53">
        <v>195.518</v>
      </c>
      <c r="AT53">
        <v>199.04900000000001</v>
      </c>
      <c r="AU53">
        <v>202.827</v>
      </c>
      <c r="AV53">
        <v>206.68199999999999</v>
      </c>
      <c r="AW53">
        <v>210.81</v>
      </c>
    </row>
    <row r="54" spans="1:49" x14ac:dyDescent="0.35">
      <c r="A54" t="s">
        <v>6</v>
      </c>
      <c r="B54" t="s">
        <v>49</v>
      </c>
      <c r="C54" t="s">
        <v>50</v>
      </c>
      <c r="D54" t="s">
        <v>31</v>
      </c>
      <c r="E54" t="s">
        <v>26</v>
      </c>
      <c r="F54" t="s">
        <v>51</v>
      </c>
      <c r="G54" s="27">
        <v>11055.92</v>
      </c>
      <c r="H54" s="27">
        <v>11740.5</v>
      </c>
      <c r="I54" s="27">
        <v>13119.64</v>
      </c>
      <c r="J54" s="27">
        <v>14017.81</v>
      </c>
      <c r="K54" s="27">
        <v>14399.33</v>
      </c>
      <c r="L54" s="27">
        <v>14955.58</v>
      </c>
      <c r="M54" s="27">
        <v>15667.31</v>
      </c>
      <c r="N54" s="27">
        <v>17363.05</v>
      </c>
      <c r="O54" s="27">
        <v>20674.03</v>
      </c>
      <c r="P54" s="27">
        <v>20879.509999999998</v>
      </c>
      <c r="Q54" s="27">
        <v>21896.83</v>
      </c>
      <c r="R54" s="27">
        <v>22589.360000000001</v>
      </c>
      <c r="S54" s="27">
        <v>21905.94</v>
      </c>
      <c r="T54" s="27">
        <v>22165.919999999998</v>
      </c>
      <c r="U54" s="27">
        <v>21417.55</v>
      </c>
      <c r="V54" s="27">
        <v>22356.19</v>
      </c>
      <c r="W54" s="27">
        <v>23104.89</v>
      </c>
      <c r="X54" s="27">
        <v>24405.89</v>
      </c>
      <c r="Y54" s="27">
        <v>24073.85</v>
      </c>
      <c r="Z54" s="27">
        <v>25903.279999999999</v>
      </c>
      <c r="AA54" s="27">
        <v>25971.07</v>
      </c>
      <c r="AB54" s="27">
        <v>25649.09</v>
      </c>
      <c r="AC54" s="27">
        <v>26850.02</v>
      </c>
      <c r="AD54" s="27">
        <v>27753.87</v>
      </c>
      <c r="AE54" s="27">
        <v>28164.66</v>
      </c>
      <c r="AF54" s="27">
        <v>29080.07</v>
      </c>
      <c r="AG54" s="27">
        <v>31094.03</v>
      </c>
      <c r="AH54" s="27">
        <v>33203.46</v>
      </c>
      <c r="AI54" s="27">
        <v>34783.83</v>
      </c>
      <c r="AJ54" s="27">
        <v>31688.3</v>
      </c>
      <c r="AK54" s="27">
        <v>33967.120000000003</v>
      </c>
      <c r="AL54" s="27">
        <v>35599.370000000003</v>
      </c>
      <c r="AM54" s="27">
        <v>36750.11</v>
      </c>
      <c r="AN54" s="27">
        <v>40439.5</v>
      </c>
      <c r="AO54" s="27">
        <v>41623.980000000003</v>
      </c>
      <c r="AP54" s="27">
        <v>40437</v>
      </c>
      <c r="AQ54" s="27">
        <v>41678.44</v>
      </c>
      <c r="AR54" s="27">
        <v>43034.22</v>
      </c>
      <c r="AS54" s="27">
        <v>44581.45</v>
      </c>
      <c r="AT54" s="27">
        <v>46068.54</v>
      </c>
      <c r="AU54" s="27">
        <v>47485.63</v>
      </c>
      <c r="AV54" s="27">
        <v>48927.75</v>
      </c>
      <c r="AW54" s="27">
        <v>50375.56</v>
      </c>
    </row>
    <row r="55" spans="1:49" x14ac:dyDescent="0.35">
      <c r="A55" t="s">
        <v>6</v>
      </c>
      <c r="B55" t="s">
        <v>49</v>
      </c>
      <c r="C55" t="s">
        <v>52</v>
      </c>
      <c r="D55" t="s">
        <v>53</v>
      </c>
      <c r="E55" t="s">
        <v>26</v>
      </c>
      <c r="F55" t="s">
        <v>51</v>
      </c>
      <c r="G55" s="27">
        <v>4248.8100000000004</v>
      </c>
      <c r="H55" s="27">
        <v>4511.8900000000003</v>
      </c>
      <c r="I55" s="27">
        <v>5041.8999999999996</v>
      </c>
      <c r="J55" s="27">
        <v>5387.06</v>
      </c>
      <c r="K55" s="27">
        <v>5533.68</v>
      </c>
      <c r="L55" s="27">
        <v>5747.45</v>
      </c>
      <c r="M55" s="27">
        <v>6020.97</v>
      </c>
      <c r="N55" s="27">
        <v>6672.65</v>
      </c>
      <c r="O55" s="27">
        <v>7945.06</v>
      </c>
      <c r="P55" s="27">
        <v>8024.03</v>
      </c>
      <c r="Q55" s="27">
        <v>8414.98</v>
      </c>
      <c r="R55" s="27">
        <v>8681.1299999999992</v>
      </c>
      <c r="S55" s="27">
        <v>8418.49</v>
      </c>
      <c r="T55" s="27">
        <v>8518.4</v>
      </c>
      <c r="U55" s="27">
        <v>8230.7999999999993</v>
      </c>
      <c r="V55" s="27">
        <v>8591.52</v>
      </c>
      <c r="W55" s="27">
        <v>8879.24</v>
      </c>
      <c r="X55" s="27">
        <v>9379.2199999999993</v>
      </c>
      <c r="Y55" s="27">
        <v>9251.6200000000008</v>
      </c>
      <c r="Z55" s="27">
        <v>9954.67</v>
      </c>
      <c r="AA55" s="27">
        <v>9980.7199999999993</v>
      </c>
      <c r="AB55" s="27">
        <v>9856.99</v>
      </c>
      <c r="AC55" s="27">
        <v>10318.5</v>
      </c>
      <c r="AD55" s="27">
        <v>10665.85</v>
      </c>
      <c r="AE55" s="27">
        <v>10823.72</v>
      </c>
      <c r="AF55" s="27">
        <v>11175.52</v>
      </c>
      <c r="AG55" s="27">
        <v>11949.48</v>
      </c>
      <c r="AH55" s="27">
        <v>12760.14</v>
      </c>
      <c r="AI55" s="27">
        <v>13367.48</v>
      </c>
      <c r="AJ55" s="27">
        <v>12177.86</v>
      </c>
      <c r="AK55" s="27">
        <v>13053.62</v>
      </c>
      <c r="AL55" s="27">
        <v>13680.89</v>
      </c>
      <c r="AM55" s="27">
        <v>14123.12</v>
      </c>
      <c r="AN55" s="27">
        <v>15540.96</v>
      </c>
      <c r="AO55" s="27">
        <v>15996.16</v>
      </c>
      <c r="AP55" s="27">
        <v>15540</v>
      </c>
      <c r="AQ55" s="27">
        <v>16017.09</v>
      </c>
      <c r="AR55" s="27">
        <v>16538.12</v>
      </c>
      <c r="AS55" s="27">
        <v>17132.72</v>
      </c>
      <c r="AT55" s="27">
        <v>17704.21</v>
      </c>
      <c r="AU55" s="27">
        <v>18248.8</v>
      </c>
      <c r="AV55" s="27">
        <v>18803.009999999998</v>
      </c>
      <c r="AW55" s="27">
        <v>19359.41</v>
      </c>
    </row>
    <row r="56" spans="1:49" x14ac:dyDescent="0.35">
      <c r="A56" t="s">
        <v>6</v>
      </c>
      <c r="B56" t="s">
        <v>54</v>
      </c>
      <c r="C56" t="s">
        <v>55</v>
      </c>
      <c r="D56" t="s">
        <v>31</v>
      </c>
      <c r="E56" t="s">
        <v>26</v>
      </c>
      <c r="F56" t="s">
        <v>56</v>
      </c>
      <c r="G56">
        <v>897.13099999999997</v>
      </c>
      <c r="H56">
        <v>919.11099999999999</v>
      </c>
      <c r="I56" s="27">
        <v>1132.6600000000001</v>
      </c>
      <c r="J56" s="27">
        <v>1303.52</v>
      </c>
      <c r="K56" s="27">
        <v>1637.71</v>
      </c>
      <c r="L56" s="27">
        <v>2095.94</v>
      </c>
      <c r="M56" s="27">
        <v>2352.23</v>
      </c>
      <c r="N56" s="27">
        <v>3050.42</v>
      </c>
      <c r="O56" s="27">
        <v>4578.5200000000004</v>
      </c>
      <c r="P56" s="27">
        <v>4907.3900000000003</v>
      </c>
      <c r="Q56" s="27">
        <v>5101.6400000000003</v>
      </c>
      <c r="R56" s="27">
        <v>5599.14</v>
      </c>
      <c r="S56" s="27">
        <v>5971.54</v>
      </c>
      <c r="T56" s="27">
        <v>6693.25</v>
      </c>
      <c r="U56" s="27">
        <v>7394.07</v>
      </c>
      <c r="V56" s="27">
        <v>8270.6200000000008</v>
      </c>
      <c r="W56" s="27">
        <v>9924.84</v>
      </c>
      <c r="X56" s="27">
        <v>11037.33</v>
      </c>
      <c r="Y56" s="27">
        <v>11939.23</v>
      </c>
      <c r="Z56" s="27">
        <v>14675.22</v>
      </c>
      <c r="AA56" s="27">
        <v>16798.73</v>
      </c>
      <c r="AB56" s="27">
        <v>17969.64</v>
      </c>
      <c r="AC56" s="27">
        <v>19034.37</v>
      </c>
      <c r="AD56" s="27">
        <v>20316.189999999999</v>
      </c>
      <c r="AE56" s="27">
        <v>22695.02</v>
      </c>
      <c r="AF56" s="27">
        <v>27058.13</v>
      </c>
      <c r="AG56" s="27">
        <v>31094.03</v>
      </c>
      <c r="AH56" s="27">
        <v>34838.550000000003</v>
      </c>
      <c r="AI56" s="27">
        <v>38223.89</v>
      </c>
      <c r="AJ56" s="27">
        <v>37072.71</v>
      </c>
      <c r="AK56" s="27">
        <v>46533.46</v>
      </c>
      <c r="AL56" s="27">
        <v>51495.17</v>
      </c>
      <c r="AM56" s="27">
        <v>54455.66</v>
      </c>
      <c r="AN56" s="27">
        <v>59788.47</v>
      </c>
      <c r="AO56" s="27">
        <v>69334.91</v>
      </c>
      <c r="AP56" s="27">
        <v>68548.41</v>
      </c>
      <c r="AQ56" s="27">
        <v>78778.12</v>
      </c>
      <c r="AR56" s="27">
        <v>82733.429999999993</v>
      </c>
      <c r="AS56" s="27">
        <v>87164.75</v>
      </c>
      <c r="AT56" s="27">
        <v>91698.95</v>
      </c>
      <c r="AU56" s="27">
        <v>96313.73</v>
      </c>
      <c r="AV56" s="27">
        <v>101125</v>
      </c>
      <c r="AW56" s="27">
        <v>106196.73</v>
      </c>
    </row>
    <row r="57" spans="1:49" x14ac:dyDescent="0.35">
      <c r="A57" t="s">
        <v>6</v>
      </c>
      <c r="B57" t="s">
        <v>54</v>
      </c>
      <c r="C57" t="s">
        <v>57</v>
      </c>
      <c r="D57" t="s">
        <v>41</v>
      </c>
      <c r="E57" t="s">
        <v>26</v>
      </c>
      <c r="F57" t="s">
        <v>56</v>
      </c>
      <c r="G57" s="27">
        <v>1199.22</v>
      </c>
      <c r="H57" s="27">
        <v>1039.43</v>
      </c>
      <c r="I57" s="27">
        <v>1057.51</v>
      </c>
      <c r="J57" s="27">
        <v>1126.8699999999999</v>
      </c>
      <c r="K57" s="27">
        <v>1079.24</v>
      </c>
      <c r="L57">
        <v>968.95100000000002</v>
      </c>
      <c r="M57" s="27">
        <v>1267.1500000000001</v>
      </c>
      <c r="N57" s="27">
        <v>1915.11</v>
      </c>
      <c r="O57" s="27">
        <v>2398.6799999999998</v>
      </c>
      <c r="P57" s="27">
        <v>2584.23</v>
      </c>
      <c r="Q57" s="27">
        <v>2750.81</v>
      </c>
      <c r="R57" s="27">
        <v>2673.59</v>
      </c>
      <c r="S57" s="27">
        <v>2684.21</v>
      </c>
      <c r="T57" s="27">
        <v>2629.78</v>
      </c>
      <c r="U57" s="27">
        <v>2755.72</v>
      </c>
      <c r="V57" s="27">
        <v>2984.19</v>
      </c>
      <c r="W57" s="27">
        <v>3006.15</v>
      </c>
      <c r="X57" s="27">
        <v>3025.7</v>
      </c>
      <c r="Y57" s="27">
        <v>2841.93</v>
      </c>
      <c r="Z57" s="27">
        <v>3173.69</v>
      </c>
      <c r="AA57" s="27">
        <v>3301.54</v>
      </c>
      <c r="AB57" s="27">
        <v>3091.39</v>
      </c>
      <c r="AC57" s="27">
        <v>3017.7</v>
      </c>
      <c r="AD57" s="27">
        <v>4119.09</v>
      </c>
      <c r="AE57" s="27">
        <v>4842.17</v>
      </c>
      <c r="AF57" s="27">
        <v>5346.04</v>
      </c>
      <c r="AG57" s="27">
        <v>5347.44</v>
      </c>
      <c r="AH57" s="27">
        <v>5676.79</v>
      </c>
      <c r="AI57" s="27">
        <v>5641.18</v>
      </c>
      <c r="AJ57" s="27">
        <v>5206.46</v>
      </c>
      <c r="AK57" s="27">
        <v>6853.67</v>
      </c>
      <c r="AL57" s="27">
        <v>7550.72</v>
      </c>
      <c r="AM57" s="27">
        <v>7154.19</v>
      </c>
      <c r="AN57" s="27">
        <v>7124.95</v>
      </c>
      <c r="AO57" s="27">
        <v>7728.45</v>
      </c>
      <c r="AP57" s="27">
        <v>6780.97</v>
      </c>
      <c r="AQ57" s="27">
        <v>7227.35</v>
      </c>
      <c r="AR57" s="27">
        <v>7673.8</v>
      </c>
      <c r="AS57" s="27">
        <v>7952.19</v>
      </c>
      <c r="AT57" s="27">
        <v>8164.15</v>
      </c>
      <c r="AU57" s="27">
        <v>8376.64</v>
      </c>
      <c r="AV57" s="27">
        <v>8582.9</v>
      </c>
      <c r="AW57" s="27">
        <v>8815.36</v>
      </c>
    </row>
    <row r="58" spans="1:49" x14ac:dyDescent="0.35">
      <c r="A58" t="s">
        <v>6</v>
      </c>
      <c r="B58" t="s">
        <v>54</v>
      </c>
      <c r="C58" t="s">
        <v>58</v>
      </c>
      <c r="D58" t="s">
        <v>44</v>
      </c>
      <c r="E58" t="s">
        <v>26</v>
      </c>
      <c r="F58" t="s">
        <v>56</v>
      </c>
      <c r="G58" s="27">
        <v>1825.05</v>
      </c>
      <c r="H58" s="27">
        <v>2119.02</v>
      </c>
      <c r="I58" s="27">
        <v>2514.86</v>
      </c>
      <c r="J58" s="27">
        <v>2793.09</v>
      </c>
      <c r="K58" s="27">
        <v>2970.93</v>
      </c>
      <c r="L58" s="27">
        <v>3184.44</v>
      </c>
      <c r="M58" s="27">
        <v>3403.25</v>
      </c>
      <c r="N58" s="27">
        <v>3867.86</v>
      </c>
      <c r="O58" s="27">
        <v>4766.6400000000003</v>
      </c>
      <c r="P58" s="27">
        <v>5001.22</v>
      </c>
      <c r="Q58" s="27">
        <v>5438.88</v>
      </c>
      <c r="R58" s="27">
        <v>5797.66</v>
      </c>
      <c r="S58" s="27">
        <v>5750.43</v>
      </c>
      <c r="T58" s="27">
        <v>5957.09</v>
      </c>
      <c r="U58" s="27">
        <v>5878.48</v>
      </c>
      <c r="V58" s="27">
        <v>6264.08</v>
      </c>
      <c r="W58" s="27">
        <v>6592.02</v>
      </c>
      <c r="X58" s="27">
        <v>7082.42</v>
      </c>
      <c r="Y58" s="27">
        <v>7061.87</v>
      </c>
      <c r="Z58" s="27">
        <v>7714.81</v>
      </c>
      <c r="AA58" s="27">
        <v>7911</v>
      </c>
      <c r="AB58" s="27">
        <v>7990.98</v>
      </c>
      <c r="AC58" s="27">
        <v>8493.5499999999993</v>
      </c>
      <c r="AD58" s="27">
        <v>8954.52</v>
      </c>
      <c r="AE58" s="27">
        <v>9336.9500000000007</v>
      </c>
      <c r="AF58" s="27">
        <v>9950.58</v>
      </c>
      <c r="AG58" s="27">
        <v>10966.64</v>
      </c>
      <c r="AH58" s="27">
        <v>12022.24</v>
      </c>
      <c r="AI58" s="27">
        <v>12841.51</v>
      </c>
      <c r="AJ58" s="27">
        <v>11787.54</v>
      </c>
      <c r="AK58" s="27">
        <v>12789.6</v>
      </c>
      <c r="AL58" s="27">
        <v>13680.89</v>
      </c>
      <c r="AM58" s="27">
        <v>14383.29</v>
      </c>
      <c r="AN58" s="27">
        <v>16082.84</v>
      </c>
      <c r="AO58" s="27">
        <v>16851.009999999998</v>
      </c>
      <c r="AP58" s="27">
        <v>16547.98</v>
      </c>
      <c r="AQ58" s="27">
        <v>17273.63</v>
      </c>
      <c r="AR58" s="27">
        <v>18146.240000000002</v>
      </c>
      <c r="AS58" s="27">
        <v>19163.53</v>
      </c>
      <c r="AT58" s="27">
        <v>20225.349999999999</v>
      </c>
      <c r="AU58" s="27">
        <v>21286.01</v>
      </c>
      <c r="AV58" s="27">
        <v>22387.96</v>
      </c>
      <c r="AW58" s="27">
        <v>23493.98</v>
      </c>
    </row>
    <row r="59" spans="1:49" x14ac:dyDescent="0.35">
      <c r="A59" t="s">
        <v>6</v>
      </c>
      <c r="B59" t="s">
        <v>59</v>
      </c>
      <c r="C59" t="s">
        <v>60</v>
      </c>
      <c r="D59" t="s">
        <v>61</v>
      </c>
    </row>
    <row r="60" spans="1:49" x14ac:dyDescent="0.35">
      <c r="A60" t="s">
        <v>6</v>
      </c>
      <c r="B60" t="s">
        <v>62</v>
      </c>
      <c r="C60" t="s">
        <v>63</v>
      </c>
      <c r="D60" t="s">
        <v>64</v>
      </c>
      <c r="F60" t="s">
        <v>42</v>
      </c>
      <c r="G60">
        <v>1.4E-2</v>
      </c>
      <c r="H60">
        <v>1.4E-2</v>
      </c>
      <c r="I60">
        <v>1.7000000000000001E-2</v>
      </c>
      <c r="J60">
        <v>1.7999999999999999E-2</v>
      </c>
      <c r="K60">
        <v>1.7999999999999999E-2</v>
      </c>
      <c r="L60">
        <v>1.9E-2</v>
      </c>
      <c r="M60">
        <v>0.02</v>
      </c>
      <c r="N60">
        <v>2.1999999999999999E-2</v>
      </c>
      <c r="O60">
        <v>2.5999999999999999E-2</v>
      </c>
      <c r="P60">
        <v>2.5999999999999999E-2</v>
      </c>
      <c r="Q60">
        <v>2.8000000000000001E-2</v>
      </c>
      <c r="R60">
        <v>2.9000000000000001E-2</v>
      </c>
      <c r="S60">
        <v>2.5999999999999999E-2</v>
      </c>
      <c r="T60">
        <v>2.5999999999999999E-2</v>
      </c>
      <c r="U60">
        <v>2.5000000000000001E-2</v>
      </c>
      <c r="V60">
        <v>2.5999999999999999E-2</v>
      </c>
      <c r="W60">
        <v>2.7E-2</v>
      </c>
      <c r="X60">
        <v>2.8000000000000001E-2</v>
      </c>
      <c r="Y60">
        <v>2.7E-2</v>
      </c>
      <c r="Z60">
        <v>2.9000000000000001E-2</v>
      </c>
      <c r="AA60">
        <v>2.8000000000000001E-2</v>
      </c>
      <c r="AB60">
        <v>2.7E-2</v>
      </c>
      <c r="AC60">
        <v>2.8000000000000001E-2</v>
      </c>
      <c r="AD60">
        <v>2.8000000000000001E-2</v>
      </c>
      <c r="AE60">
        <v>2.8000000000000001E-2</v>
      </c>
      <c r="AF60">
        <v>2.8000000000000001E-2</v>
      </c>
      <c r="AG60">
        <v>2.8000000000000001E-2</v>
      </c>
      <c r="AH60">
        <v>2.9000000000000001E-2</v>
      </c>
      <c r="AI60">
        <v>0.03</v>
      </c>
      <c r="AJ60">
        <v>2.8000000000000001E-2</v>
      </c>
      <c r="AK60">
        <v>2.9000000000000001E-2</v>
      </c>
      <c r="AL60">
        <v>2.9000000000000001E-2</v>
      </c>
      <c r="AM60">
        <v>0.03</v>
      </c>
      <c r="AN60">
        <v>3.2000000000000001E-2</v>
      </c>
      <c r="AO60">
        <v>3.2000000000000001E-2</v>
      </c>
      <c r="AP60">
        <v>3.1E-2</v>
      </c>
      <c r="AQ60">
        <v>3.1E-2</v>
      </c>
      <c r="AR60">
        <v>3.1E-2</v>
      </c>
      <c r="AS60">
        <v>3.2000000000000001E-2</v>
      </c>
      <c r="AT60">
        <v>3.2000000000000001E-2</v>
      </c>
      <c r="AU60">
        <v>3.2000000000000001E-2</v>
      </c>
      <c r="AV60">
        <v>3.2000000000000001E-2</v>
      </c>
      <c r="AW60">
        <v>3.2000000000000001E-2</v>
      </c>
    </row>
    <row r="61" spans="1:49" x14ac:dyDescent="0.35">
      <c r="A61" t="s">
        <v>6</v>
      </c>
      <c r="B61" t="s">
        <v>65</v>
      </c>
      <c r="C61" t="s">
        <v>66</v>
      </c>
      <c r="D61" t="s">
        <v>67</v>
      </c>
      <c r="F61" t="s">
        <v>42</v>
      </c>
      <c r="G61">
        <v>0.49199999999999999</v>
      </c>
      <c r="H61">
        <v>0.434</v>
      </c>
      <c r="I61">
        <v>0.45</v>
      </c>
      <c r="J61">
        <v>0.46700000000000003</v>
      </c>
      <c r="K61">
        <v>0.55100000000000005</v>
      </c>
      <c r="L61">
        <v>0.65800000000000003</v>
      </c>
      <c r="M61">
        <v>0.69099999999999995</v>
      </c>
      <c r="N61">
        <v>0.78900000000000003</v>
      </c>
      <c r="O61">
        <v>0.96099999999999997</v>
      </c>
      <c r="P61">
        <v>0.98099999999999998</v>
      </c>
      <c r="Q61">
        <v>0.93799999999999994</v>
      </c>
      <c r="R61">
        <v>0.96599999999999997</v>
      </c>
      <c r="S61">
        <v>1.038</v>
      </c>
      <c r="T61">
        <v>1.1240000000000001</v>
      </c>
      <c r="U61">
        <v>1.258</v>
      </c>
      <c r="V61">
        <v>1.32</v>
      </c>
      <c r="W61">
        <v>1.506</v>
      </c>
      <c r="X61">
        <v>1.5580000000000001</v>
      </c>
      <c r="Y61">
        <v>1.6910000000000001</v>
      </c>
      <c r="Z61">
        <v>1.9019999999999999</v>
      </c>
      <c r="AA61">
        <v>2.1230000000000002</v>
      </c>
      <c r="AB61">
        <v>2.2490000000000001</v>
      </c>
      <c r="AC61">
        <v>2.2410000000000001</v>
      </c>
      <c r="AD61">
        <v>2.2690000000000001</v>
      </c>
      <c r="AE61">
        <v>2.431</v>
      </c>
      <c r="AF61">
        <v>2.7189999999999999</v>
      </c>
      <c r="AG61">
        <v>2.835</v>
      </c>
      <c r="AH61">
        <v>2.8980000000000001</v>
      </c>
      <c r="AI61">
        <v>2.9769999999999999</v>
      </c>
      <c r="AJ61">
        <v>3.145</v>
      </c>
      <c r="AK61">
        <v>3.6379999999999999</v>
      </c>
      <c r="AL61">
        <v>3.7639999999999998</v>
      </c>
      <c r="AM61">
        <v>3.786</v>
      </c>
      <c r="AN61">
        <v>3.718</v>
      </c>
      <c r="AO61">
        <v>4.1150000000000002</v>
      </c>
      <c r="AP61">
        <v>4.1420000000000003</v>
      </c>
      <c r="AQ61">
        <v>4.5609999999999999</v>
      </c>
      <c r="AR61">
        <v>4.5590000000000002</v>
      </c>
      <c r="AS61">
        <v>4.548</v>
      </c>
      <c r="AT61">
        <v>4.5339999999999998</v>
      </c>
      <c r="AU61">
        <v>4.5250000000000004</v>
      </c>
      <c r="AV61">
        <v>4.5170000000000003</v>
      </c>
      <c r="AW61">
        <v>4.5199999999999996</v>
      </c>
    </row>
    <row r="62" spans="1:49" x14ac:dyDescent="0.35">
      <c r="A62" t="s">
        <v>6</v>
      </c>
      <c r="B62" t="s">
        <v>68</v>
      </c>
      <c r="C62" t="s">
        <v>69</v>
      </c>
      <c r="D62" t="s">
        <v>70</v>
      </c>
      <c r="F62" t="s">
        <v>129</v>
      </c>
      <c r="G62">
        <v>41.587000000000003</v>
      </c>
      <c r="H62">
        <v>45.152000000000001</v>
      </c>
      <c r="I62">
        <v>31.795000000000002</v>
      </c>
      <c r="J62">
        <v>27.372</v>
      </c>
      <c r="K62">
        <v>31.033000000000001</v>
      </c>
      <c r="L62">
        <v>16.936</v>
      </c>
      <c r="M62">
        <v>25.395</v>
      </c>
      <c r="N62">
        <v>8.1419999999999995</v>
      </c>
      <c r="O62">
        <v>33.511000000000003</v>
      </c>
      <c r="P62">
        <v>38.447000000000003</v>
      </c>
      <c r="Q62">
        <v>39.082000000000001</v>
      </c>
      <c r="R62">
        <v>31.841000000000001</v>
      </c>
      <c r="S62">
        <v>31.826000000000001</v>
      </c>
      <c r="T62">
        <v>29.940999999999999</v>
      </c>
      <c r="U62">
        <v>25.981999999999999</v>
      </c>
      <c r="V62">
        <v>27.129000000000001</v>
      </c>
      <c r="W62">
        <v>23.443000000000001</v>
      </c>
      <c r="X62">
        <v>24.052</v>
      </c>
      <c r="Y62">
        <v>37.936999999999998</v>
      </c>
      <c r="Z62">
        <v>25.626000000000001</v>
      </c>
      <c r="AA62">
        <v>29.550999999999998</v>
      </c>
      <c r="AB62">
        <v>29.888000000000002</v>
      </c>
      <c r="AC62">
        <v>30.193000000000001</v>
      </c>
      <c r="AD62">
        <v>30.143999999999998</v>
      </c>
      <c r="AE62">
        <v>31.48</v>
      </c>
      <c r="AF62">
        <v>27.15</v>
      </c>
      <c r="AG62">
        <v>25.905000000000001</v>
      </c>
      <c r="AH62">
        <v>30.792999999999999</v>
      </c>
      <c r="AI62">
        <v>34.915999999999997</v>
      </c>
      <c r="AJ62">
        <v>37.295999999999999</v>
      </c>
      <c r="AK62">
        <v>35.353000000000002</v>
      </c>
      <c r="AL62">
        <v>38.725000000000001</v>
      </c>
      <c r="AM62">
        <v>38.137</v>
      </c>
      <c r="AN62">
        <v>32.877000000000002</v>
      </c>
      <c r="AO62">
        <v>27.856000000000002</v>
      </c>
      <c r="AP62">
        <v>32.11</v>
      </c>
      <c r="AQ62">
        <v>23.832999999999998</v>
      </c>
      <c r="AR62">
        <v>25.082999999999998</v>
      </c>
      <c r="AS62">
        <v>26.318999999999999</v>
      </c>
      <c r="AT62">
        <v>26.818000000000001</v>
      </c>
      <c r="AU62">
        <v>27.34</v>
      </c>
      <c r="AV62">
        <v>27.603000000000002</v>
      </c>
      <c r="AW62">
        <v>27.654</v>
      </c>
    </row>
    <row r="63" spans="1:49" x14ac:dyDescent="0.35">
      <c r="A63" t="s">
        <v>6</v>
      </c>
      <c r="B63" t="s">
        <v>71</v>
      </c>
      <c r="C63" t="s">
        <v>72</v>
      </c>
      <c r="D63" t="s">
        <v>70</v>
      </c>
      <c r="F63" t="s">
        <v>129</v>
      </c>
      <c r="G63">
        <v>29.305</v>
      </c>
      <c r="H63">
        <v>24.172999999999998</v>
      </c>
      <c r="I63">
        <v>28.736999999999998</v>
      </c>
      <c r="J63">
        <v>26.715</v>
      </c>
      <c r="K63">
        <v>27.181999999999999</v>
      </c>
      <c r="L63">
        <v>36.631999999999998</v>
      </c>
      <c r="M63">
        <v>35.908999999999999</v>
      </c>
      <c r="N63">
        <v>42.063000000000002</v>
      </c>
      <c r="O63">
        <v>53.215000000000003</v>
      </c>
      <c r="P63">
        <v>43.283999999999999</v>
      </c>
      <c r="Q63">
        <v>46.369</v>
      </c>
      <c r="R63">
        <v>45.642000000000003</v>
      </c>
      <c r="S63">
        <v>43.323</v>
      </c>
      <c r="T63">
        <v>42.74</v>
      </c>
      <c r="U63">
        <v>29.629000000000001</v>
      </c>
      <c r="V63">
        <v>32.701000000000001</v>
      </c>
      <c r="W63">
        <v>38.613999999999997</v>
      </c>
      <c r="X63">
        <v>38.335000000000001</v>
      </c>
      <c r="Y63">
        <v>42.185000000000002</v>
      </c>
      <c r="Z63">
        <v>36.901000000000003</v>
      </c>
      <c r="AA63">
        <v>38.972000000000001</v>
      </c>
      <c r="AB63">
        <v>42.213999999999999</v>
      </c>
      <c r="AC63">
        <v>35.423999999999999</v>
      </c>
      <c r="AD63">
        <v>39.237000000000002</v>
      </c>
      <c r="AE63">
        <v>35.399000000000001</v>
      </c>
      <c r="AF63">
        <v>43.194000000000003</v>
      </c>
      <c r="AG63">
        <v>45.155000000000001</v>
      </c>
      <c r="AH63">
        <v>45.835000000000001</v>
      </c>
      <c r="AI63">
        <v>34.862000000000002</v>
      </c>
      <c r="AJ63">
        <v>29.925999999999998</v>
      </c>
      <c r="AK63">
        <v>32.161999999999999</v>
      </c>
      <c r="AL63">
        <v>41.533999999999999</v>
      </c>
      <c r="AM63">
        <v>39.561</v>
      </c>
      <c r="AN63">
        <v>41.805999999999997</v>
      </c>
      <c r="AO63">
        <v>43.216999999999999</v>
      </c>
      <c r="AP63">
        <v>40.503999999999998</v>
      </c>
      <c r="AQ63">
        <v>42.084000000000003</v>
      </c>
      <c r="AR63">
        <v>29.545999999999999</v>
      </c>
      <c r="AS63">
        <v>29.077999999999999</v>
      </c>
      <c r="AT63">
        <v>29.440999999999999</v>
      </c>
      <c r="AU63">
        <v>30.475999999999999</v>
      </c>
      <c r="AV63">
        <v>31.163</v>
      </c>
      <c r="AW63">
        <v>31.536000000000001</v>
      </c>
    </row>
    <row r="64" spans="1:49" x14ac:dyDescent="0.35">
      <c r="A64" t="s">
        <v>6</v>
      </c>
      <c r="B64" t="s">
        <v>73</v>
      </c>
      <c r="C64" t="s">
        <v>74</v>
      </c>
      <c r="D64" t="s">
        <v>47</v>
      </c>
      <c r="F64" t="s">
        <v>130</v>
      </c>
      <c r="G64">
        <v>13.362</v>
      </c>
      <c r="H64">
        <v>15.54</v>
      </c>
      <c r="I64">
        <v>17.28</v>
      </c>
      <c r="J64">
        <v>19.094000000000001</v>
      </c>
      <c r="K64">
        <v>20.736999999999998</v>
      </c>
      <c r="L64">
        <v>22.416</v>
      </c>
      <c r="M64">
        <v>24.658000000000001</v>
      </c>
      <c r="N64">
        <v>27.074000000000002</v>
      </c>
      <c r="O64">
        <v>29.349</v>
      </c>
      <c r="P64">
        <v>32.753</v>
      </c>
      <c r="Q64">
        <v>36.487000000000002</v>
      </c>
      <c r="R64">
        <v>41.084000000000003</v>
      </c>
      <c r="S64">
        <v>47.863</v>
      </c>
      <c r="T64">
        <v>54.755000000000003</v>
      </c>
      <c r="U64">
        <v>60.56</v>
      </c>
      <c r="V64">
        <v>66.918000000000006</v>
      </c>
      <c r="W64">
        <v>73.677000000000007</v>
      </c>
      <c r="X64">
        <v>80.233999999999995</v>
      </c>
      <c r="Y64">
        <v>85.456999999999994</v>
      </c>
      <c r="Z64">
        <v>92.137</v>
      </c>
      <c r="AA64">
        <v>100</v>
      </c>
      <c r="AB64">
        <v>106.565</v>
      </c>
      <c r="AC64">
        <v>115.119</v>
      </c>
      <c r="AD64">
        <v>125.69199999999999</v>
      </c>
      <c r="AE64">
        <v>134.47499999999999</v>
      </c>
      <c r="AF64">
        <v>146.054</v>
      </c>
      <c r="AG64">
        <v>162.928</v>
      </c>
      <c r="AH64">
        <v>174.459</v>
      </c>
      <c r="AI64">
        <v>196.48099999999999</v>
      </c>
      <c r="AJ64">
        <v>212.41200000000001</v>
      </c>
      <c r="AK64">
        <v>227.17400000000001</v>
      </c>
      <c r="AL64">
        <v>246.40199999999999</v>
      </c>
      <c r="AM64">
        <v>264.97399999999999</v>
      </c>
      <c r="AN64">
        <v>280.56</v>
      </c>
      <c r="AO64">
        <v>292.94600000000003</v>
      </c>
      <c r="AP64">
        <v>301.89299999999997</v>
      </c>
      <c r="AQ64">
        <v>310.375</v>
      </c>
      <c r="AR64">
        <v>321.85899999999998</v>
      </c>
      <c r="AS64">
        <v>333.76799999999997</v>
      </c>
      <c r="AT64">
        <v>346.45100000000002</v>
      </c>
      <c r="AU64">
        <v>359.96199999999999</v>
      </c>
      <c r="AV64">
        <v>374.00099999999998</v>
      </c>
      <c r="AW64">
        <v>388.774</v>
      </c>
    </row>
    <row r="65" spans="1:49" x14ac:dyDescent="0.35">
      <c r="A65" t="s">
        <v>6</v>
      </c>
      <c r="B65" t="s">
        <v>73</v>
      </c>
      <c r="C65" t="s">
        <v>76</v>
      </c>
      <c r="D65" t="s">
        <v>35</v>
      </c>
      <c r="F65" t="s">
        <v>77</v>
      </c>
      <c r="G65">
        <v>12.127000000000001</v>
      </c>
      <c r="H65">
        <v>16.3</v>
      </c>
      <c r="I65">
        <v>11.2</v>
      </c>
      <c r="J65">
        <v>10.5</v>
      </c>
      <c r="K65">
        <v>8.6</v>
      </c>
      <c r="L65">
        <v>8.1</v>
      </c>
      <c r="M65">
        <v>10</v>
      </c>
      <c r="N65">
        <v>9.8000000000000007</v>
      </c>
      <c r="O65">
        <v>8.4</v>
      </c>
      <c r="P65">
        <v>11.6</v>
      </c>
      <c r="Q65">
        <v>11.4</v>
      </c>
      <c r="R65">
        <v>12.6</v>
      </c>
      <c r="S65">
        <v>16.5</v>
      </c>
      <c r="T65">
        <v>14.4</v>
      </c>
      <c r="U65">
        <v>10.6</v>
      </c>
      <c r="V65">
        <v>10.5</v>
      </c>
      <c r="W65">
        <v>10.1</v>
      </c>
      <c r="X65">
        <v>8.9</v>
      </c>
      <c r="Y65">
        <v>6.51</v>
      </c>
      <c r="Z65">
        <v>7.8159999999999998</v>
      </c>
      <c r="AA65">
        <v>8.5340000000000007</v>
      </c>
      <c r="AB65">
        <v>6.5650000000000004</v>
      </c>
      <c r="AC65">
        <v>8.0259999999999998</v>
      </c>
      <c r="AD65">
        <v>9.1850000000000005</v>
      </c>
      <c r="AE65">
        <v>6.9880000000000004</v>
      </c>
      <c r="AF65">
        <v>8.61</v>
      </c>
      <c r="AG65">
        <v>11.553000000000001</v>
      </c>
      <c r="AH65">
        <v>7.077</v>
      </c>
      <c r="AI65">
        <v>12.622999999999999</v>
      </c>
      <c r="AJ65">
        <v>8.1080000000000005</v>
      </c>
      <c r="AK65">
        <v>6.95</v>
      </c>
      <c r="AL65">
        <v>8.4640000000000004</v>
      </c>
      <c r="AM65">
        <v>7.5369999999999999</v>
      </c>
      <c r="AN65">
        <v>5.8819999999999997</v>
      </c>
      <c r="AO65">
        <v>4.415</v>
      </c>
      <c r="AP65">
        <v>3.0539999999999998</v>
      </c>
      <c r="AQ65">
        <v>2.81</v>
      </c>
      <c r="AR65">
        <v>3.7</v>
      </c>
      <c r="AS65">
        <v>3.7</v>
      </c>
      <c r="AT65">
        <v>3.8</v>
      </c>
      <c r="AU65">
        <v>3.9</v>
      </c>
      <c r="AV65">
        <v>3.9</v>
      </c>
      <c r="AW65">
        <v>3.95</v>
      </c>
    </row>
    <row r="66" spans="1:49" x14ac:dyDescent="0.35">
      <c r="A66" t="s">
        <v>6</v>
      </c>
      <c r="B66" t="s">
        <v>78</v>
      </c>
      <c r="C66" t="s">
        <v>79</v>
      </c>
      <c r="D66" t="s">
        <v>47</v>
      </c>
      <c r="F66" t="s">
        <v>130</v>
      </c>
      <c r="G66">
        <v>13.877000000000001</v>
      </c>
      <c r="H66">
        <v>15.903</v>
      </c>
      <c r="I66">
        <v>17.922999999999998</v>
      </c>
      <c r="J66">
        <v>19.411000000000001</v>
      </c>
      <c r="K66">
        <v>20.672999999999998</v>
      </c>
      <c r="L66">
        <v>22.821999999999999</v>
      </c>
      <c r="M66">
        <v>25.286999999999999</v>
      </c>
      <c r="N66">
        <v>27.335999999999999</v>
      </c>
      <c r="O66">
        <v>30.178000000000001</v>
      </c>
      <c r="P66">
        <v>33.588999999999999</v>
      </c>
      <c r="Q66">
        <v>37.619</v>
      </c>
      <c r="R66">
        <v>42.359000000000002</v>
      </c>
      <c r="S66">
        <v>49.348999999999997</v>
      </c>
      <c r="T66">
        <v>55.616</v>
      </c>
      <c r="U66">
        <v>61.066000000000003</v>
      </c>
      <c r="V66">
        <v>67.661000000000001</v>
      </c>
      <c r="W66">
        <v>74.156999999999996</v>
      </c>
      <c r="X66">
        <v>79.941000000000003</v>
      </c>
      <c r="Y66">
        <v>85.028999999999996</v>
      </c>
      <c r="Z66">
        <v>92.183000000000007</v>
      </c>
      <c r="AA66">
        <v>100</v>
      </c>
      <c r="AB66">
        <v>105.752</v>
      </c>
      <c r="AC66">
        <v>116.962</v>
      </c>
      <c r="AD66">
        <v>124.41</v>
      </c>
      <c r="AE66">
        <v>134.226</v>
      </c>
      <c r="AF66">
        <v>149.37299999999999</v>
      </c>
      <c r="AG66">
        <v>162.10300000000001</v>
      </c>
      <c r="AH66">
        <v>175.3</v>
      </c>
      <c r="AI66">
        <v>199.27699999999999</v>
      </c>
      <c r="AJ66">
        <v>210.92699999999999</v>
      </c>
      <c r="AK66">
        <v>226.55699999999999</v>
      </c>
      <c r="AL66">
        <v>247.34299999999999</v>
      </c>
      <c r="AM66">
        <v>265.73200000000003</v>
      </c>
      <c r="AN66">
        <v>276.54399999999998</v>
      </c>
      <c r="AO66">
        <v>286.91399999999999</v>
      </c>
      <c r="AP66">
        <v>295.80799999999999</v>
      </c>
      <c r="AQ66">
        <v>304.68299999999999</v>
      </c>
      <c r="AR66">
        <v>318.089</v>
      </c>
      <c r="AS66">
        <v>327.63099999999997</v>
      </c>
      <c r="AT66">
        <v>342.702</v>
      </c>
      <c r="AU66">
        <v>353.66899999999998</v>
      </c>
      <c r="AV66">
        <v>369.93799999999999</v>
      </c>
      <c r="AW66">
        <v>382.14600000000002</v>
      </c>
    </row>
    <row r="67" spans="1:49" x14ac:dyDescent="0.35">
      <c r="A67" t="s">
        <v>6</v>
      </c>
      <c r="B67" t="s">
        <v>78</v>
      </c>
      <c r="C67" t="s">
        <v>80</v>
      </c>
      <c r="D67" t="s">
        <v>35</v>
      </c>
      <c r="F67" t="s">
        <v>81</v>
      </c>
      <c r="G67" t="s">
        <v>82</v>
      </c>
      <c r="H67">
        <v>14.6</v>
      </c>
      <c r="I67">
        <v>12.7</v>
      </c>
      <c r="J67">
        <v>8.3000000000000007</v>
      </c>
      <c r="K67">
        <v>6.5</v>
      </c>
      <c r="L67">
        <v>10.4</v>
      </c>
      <c r="M67">
        <v>10.8</v>
      </c>
      <c r="N67">
        <v>8.1</v>
      </c>
      <c r="O67">
        <v>10.4</v>
      </c>
      <c r="P67">
        <v>11.3</v>
      </c>
      <c r="Q67">
        <v>12</v>
      </c>
      <c r="R67">
        <v>12.6</v>
      </c>
      <c r="S67">
        <v>16.5</v>
      </c>
      <c r="T67">
        <v>12.7</v>
      </c>
      <c r="U67">
        <v>9.8000000000000007</v>
      </c>
      <c r="V67">
        <v>10.8</v>
      </c>
      <c r="W67">
        <v>9.6</v>
      </c>
      <c r="X67">
        <v>7.8</v>
      </c>
      <c r="Y67">
        <v>6.3650000000000002</v>
      </c>
      <c r="Z67">
        <v>8.4130000000000003</v>
      </c>
      <c r="AA67">
        <v>8.48</v>
      </c>
      <c r="AB67">
        <v>5.7519999999999998</v>
      </c>
      <c r="AC67">
        <v>10.6</v>
      </c>
      <c r="AD67">
        <v>6.3680000000000003</v>
      </c>
      <c r="AE67">
        <v>7.89</v>
      </c>
      <c r="AF67">
        <v>11.285</v>
      </c>
      <c r="AG67">
        <v>8.5220000000000002</v>
      </c>
      <c r="AH67">
        <v>8.141</v>
      </c>
      <c r="AI67">
        <v>13.678000000000001</v>
      </c>
      <c r="AJ67">
        <v>5.8460000000000001</v>
      </c>
      <c r="AK67">
        <v>7.41</v>
      </c>
      <c r="AL67">
        <v>9.1750000000000007</v>
      </c>
      <c r="AM67">
        <v>7.4349999999999996</v>
      </c>
      <c r="AN67">
        <v>4.0679999999999996</v>
      </c>
      <c r="AO67">
        <v>3.75</v>
      </c>
      <c r="AP67">
        <v>3.1</v>
      </c>
      <c r="AQ67">
        <v>3</v>
      </c>
      <c r="AR67">
        <v>4.4000000000000004</v>
      </c>
      <c r="AS67">
        <v>3</v>
      </c>
      <c r="AT67">
        <v>4.5999999999999996</v>
      </c>
      <c r="AU67">
        <v>3.2</v>
      </c>
      <c r="AV67">
        <v>4.5999999999999996</v>
      </c>
      <c r="AW67">
        <v>3.3</v>
      </c>
    </row>
    <row r="68" spans="1:49" x14ac:dyDescent="0.35">
      <c r="A68" t="s">
        <v>6</v>
      </c>
      <c r="B68" t="s">
        <v>83</v>
      </c>
      <c r="D68" t="s">
        <v>64</v>
      </c>
    </row>
    <row r="69" spans="1:49" x14ac:dyDescent="0.35">
      <c r="A69" t="s">
        <v>6</v>
      </c>
      <c r="B69" t="s">
        <v>84</v>
      </c>
      <c r="C69" t="s">
        <v>85</v>
      </c>
      <c r="D69" t="s">
        <v>35</v>
      </c>
      <c r="F69" t="s">
        <v>131</v>
      </c>
      <c r="G69">
        <v>16.018999999999998</v>
      </c>
      <c r="H69">
        <v>9.3849999999999998</v>
      </c>
      <c r="I69">
        <v>-14.564</v>
      </c>
      <c r="J69">
        <v>10.901</v>
      </c>
      <c r="K69">
        <v>3.3029999999999999</v>
      </c>
      <c r="L69">
        <v>-12.499000000000001</v>
      </c>
      <c r="M69">
        <v>49.154000000000003</v>
      </c>
      <c r="N69">
        <v>13.874000000000001</v>
      </c>
      <c r="O69">
        <v>19.873000000000001</v>
      </c>
      <c r="P69">
        <v>26.521000000000001</v>
      </c>
      <c r="Q69">
        <v>-6.9390000000000001</v>
      </c>
      <c r="R69">
        <v>-7.2770000000000001</v>
      </c>
      <c r="S69">
        <v>-10.282</v>
      </c>
      <c r="T69">
        <v>-10.981</v>
      </c>
      <c r="U69">
        <v>-10.115</v>
      </c>
      <c r="V69">
        <v>-2.8</v>
      </c>
      <c r="W69">
        <v>-6.282</v>
      </c>
      <c r="X69">
        <v>31.763000000000002</v>
      </c>
      <c r="Y69">
        <v>15.217000000000001</v>
      </c>
      <c r="Z69">
        <v>-5.3049999999999997</v>
      </c>
      <c r="AA69">
        <v>-1.909</v>
      </c>
      <c r="AB69">
        <v>-1.526</v>
      </c>
      <c r="AC69">
        <v>2.0019999999999998</v>
      </c>
      <c r="AD69">
        <v>-7.3010000000000002</v>
      </c>
      <c r="AE69">
        <v>17.617000000000001</v>
      </c>
      <c r="AF69">
        <v>-4.9359999999999999</v>
      </c>
      <c r="AG69">
        <v>4.3999999999999997E-2</v>
      </c>
      <c r="AH69">
        <v>24.956</v>
      </c>
      <c r="AI69">
        <v>17.542999999999999</v>
      </c>
      <c r="AJ69">
        <v>-10.884</v>
      </c>
      <c r="AK69">
        <v>6.4809999999999999</v>
      </c>
      <c r="AL69">
        <v>19.224</v>
      </c>
      <c r="AM69">
        <v>32.078000000000003</v>
      </c>
      <c r="AN69">
        <v>11.605</v>
      </c>
      <c r="AO69">
        <v>-1.2909999999999999</v>
      </c>
      <c r="AP69">
        <v>0.37</v>
      </c>
      <c r="AQ69">
        <v>-6.2210000000000001</v>
      </c>
      <c r="AR69">
        <v>-3.2469999999999999</v>
      </c>
      <c r="AS69">
        <v>3.714</v>
      </c>
      <c r="AT69">
        <v>2.35</v>
      </c>
      <c r="AU69">
        <v>2.101</v>
      </c>
      <c r="AV69">
        <v>1.6319999999999999</v>
      </c>
      <c r="AW69">
        <v>0.83</v>
      </c>
    </row>
    <row r="70" spans="1:49" x14ac:dyDescent="0.35">
      <c r="A70" t="s">
        <v>6</v>
      </c>
      <c r="B70" t="s">
        <v>87</v>
      </c>
      <c r="C70" t="s">
        <v>88</v>
      </c>
      <c r="D70" t="s">
        <v>35</v>
      </c>
      <c r="F70" t="s">
        <v>131</v>
      </c>
      <c r="G70">
        <v>5.2990000000000004</v>
      </c>
      <c r="H70">
        <v>13.279</v>
      </c>
      <c r="I70">
        <v>-14.481999999999999</v>
      </c>
      <c r="J70">
        <v>9.2330000000000005</v>
      </c>
      <c r="K70">
        <v>4.0410000000000004</v>
      </c>
      <c r="L70">
        <v>-8.984</v>
      </c>
      <c r="M70">
        <v>50.122</v>
      </c>
      <c r="N70">
        <v>14.018000000000001</v>
      </c>
      <c r="O70">
        <v>21.488</v>
      </c>
      <c r="P70">
        <v>31.89</v>
      </c>
      <c r="Q70">
        <v>-13.07</v>
      </c>
      <c r="R70">
        <v>-7.6609999999999996</v>
      </c>
      <c r="S70">
        <v>-9.7609999999999992</v>
      </c>
      <c r="T70">
        <v>-10.428000000000001</v>
      </c>
      <c r="U70">
        <v>-11.007999999999999</v>
      </c>
      <c r="V70">
        <v>-5.8979999999999997</v>
      </c>
      <c r="W70">
        <v>-3.0649999999999999</v>
      </c>
      <c r="X70">
        <v>32.335999999999999</v>
      </c>
      <c r="Y70">
        <v>11.545</v>
      </c>
      <c r="Z70">
        <v>-6.0990000000000002</v>
      </c>
      <c r="AA70">
        <v>-8.0630000000000006</v>
      </c>
      <c r="AB70">
        <v>-2.8050000000000002</v>
      </c>
      <c r="AC70">
        <v>3.2189999999999999</v>
      </c>
      <c r="AD70">
        <v>-6.5869999999999997</v>
      </c>
      <c r="AE70">
        <v>19.318999999999999</v>
      </c>
      <c r="AF70">
        <v>-6.2750000000000004</v>
      </c>
      <c r="AG70">
        <v>-0.21099999999999999</v>
      </c>
      <c r="AH70">
        <v>27.113</v>
      </c>
      <c r="AI70">
        <v>27.067</v>
      </c>
      <c r="AJ70">
        <v>-11.872999999999999</v>
      </c>
      <c r="AK70">
        <v>7.2130000000000001</v>
      </c>
      <c r="AL70">
        <v>19.641999999999999</v>
      </c>
      <c r="AM70">
        <v>43.500999999999998</v>
      </c>
      <c r="AN70">
        <v>11.547000000000001</v>
      </c>
      <c r="AO70">
        <v>-1.621</v>
      </c>
      <c r="AP70">
        <v>0.94399999999999995</v>
      </c>
      <c r="AQ70">
        <v>-6.6470000000000002</v>
      </c>
      <c r="AR70">
        <v>-2.2999999999999998</v>
      </c>
      <c r="AS70">
        <v>2.6059999999999999</v>
      </c>
      <c r="AT70">
        <v>2.137</v>
      </c>
      <c r="AU70">
        <v>1.9119999999999999</v>
      </c>
      <c r="AV70">
        <v>1.7689999999999999</v>
      </c>
      <c r="AW70">
        <v>1.2669999999999999</v>
      </c>
    </row>
    <row r="71" spans="1:49" x14ac:dyDescent="0.35">
      <c r="A71" t="s">
        <v>6</v>
      </c>
      <c r="B71" t="s">
        <v>89</v>
      </c>
      <c r="C71" t="s">
        <v>90</v>
      </c>
      <c r="D71" t="s">
        <v>35</v>
      </c>
      <c r="F71" t="s">
        <v>131</v>
      </c>
      <c r="G71">
        <v>13.342000000000001</v>
      </c>
      <c r="H71">
        <v>29.56</v>
      </c>
      <c r="I71">
        <v>28.946000000000002</v>
      </c>
      <c r="J71">
        <v>2.2090000000000001</v>
      </c>
      <c r="K71">
        <v>32.654000000000003</v>
      </c>
      <c r="L71">
        <v>-7.0339999999999998</v>
      </c>
      <c r="M71">
        <v>4.218</v>
      </c>
      <c r="N71">
        <v>-1.831</v>
      </c>
      <c r="O71">
        <v>12.375</v>
      </c>
      <c r="P71">
        <v>0.86599999999999999</v>
      </c>
      <c r="Q71">
        <v>17.419</v>
      </c>
      <c r="R71">
        <v>-5.2480000000000002</v>
      </c>
      <c r="S71">
        <v>-1.0489999999999999</v>
      </c>
      <c r="T71">
        <v>-7.6820000000000004</v>
      </c>
      <c r="U71">
        <v>14.737</v>
      </c>
      <c r="V71">
        <v>11.782</v>
      </c>
      <c r="W71">
        <v>0.17299999999999999</v>
      </c>
      <c r="X71">
        <v>23.85</v>
      </c>
      <c r="Y71">
        <v>-16.34</v>
      </c>
      <c r="Z71">
        <v>29.913</v>
      </c>
      <c r="AA71">
        <v>0.85499999999999998</v>
      </c>
      <c r="AB71">
        <v>-4.3440000000000003</v>
      </c>
      <c r="AC71">
        <v>7.3460000000000001</v>
      </c>
      <c r="AD71">
        <v>-7</v>
      </c>
      <c r="AE71">
        <v>7.3890000000000002</v>
      </c>
      <c r="AF71">
        <v>18.190999999999999</v>
      </c>
      <c r="AG71">
        <v>3.133</v>
      </c>
      <c r="AH71">
        <v>8.4809999999999999</v>
      </c>
      <c r="AI71">
        <v>-2.4790000000000001</v>
      </c>
      <c r="AJ71">
        <v>-37.67</v>
      </c>
      <c r="AK71">
        <v>16.021999999999998</v>
      </c>
      <c r="AL71">
        <v>27.547000000000001</v>
      </c>
      <c r="AM71">
        <v>17.841000000000001</v>
      </c>
      <c r="AN71">
        <v>29.777000000000001</v>
      </c>
      <c r="AO71">
        <v>13.212</v>
      </c>
      <c r="AP71">
        <v>-17.111000000000001</v>
      </c>
      <c r="AQ71">
        <v>13.965</v>
      </c>
      <c r="AR71">
        <v>-16.105</v>
      </c>
      <c r="AS71">
        <v>3.9409999999999998</v>
      </c>
      <c r="AT71">
        <v>3.8959999999999999</v>
      </c>
      <c r="AU71">
        <v>3.4279999999999999</v>
      </c>
      <c r="AV71">
        <v>2.714</v>
      </c>
      <c r="AW71">
        <v>2.363</v>
      </c>
    </row>
    <row r="72" spans="1:49" x14ac:dyDescent="0.35">
      <c r="A72" t="s">
        <v>6</v>
      </c>
      <c r="B72" t="s">
        <v>91</v>
      </c>
      <c r="C72" t="s">
        <v>92</v>
      </c>
      <c r="D72" t="s">
        <v>35</v>
      </c>
      <c r="F72" t="s">
        <v>131</v>
      </c>
      <c r="G72">
        <v>7.6589999999999998</v>
      </c>
      <c r="H72">
        <v>34.418999999999997</v>
      </c>
      <c r="I72">
        <v>30.917999999999999</v>
      </c>
      <c r="J72">
        <v>6.359</v>
      </c>
      <c r="K72">
        <v>34.412999999999997</v>
      </c>
      <c r="L72">
        <v>-2.1880000000000002</v>
      </c>
      <c r="M72">
        <v>3.1640000000000001</v>
      </c>
      <c r="N72">
        <v>1.5589999999999999</v>
      </c>
      <c r="O72">
        <v>12.744999999999999</v>
      </c>
      <c r="P72">
        <v>2.3740000000000001</v>
      </c>
      <c r="Q72">
        <v>11.401999999999999</v>
      </c>
      <c r="R72">
        <v>-4.8620000000000001</v>
      </c>
      <c r="S72">
        <v>-0.72099999999999997</v>
      </c>
      <c r="T72">
        <v>-7.8520000000000003</v>
      </c>
      <c r="U72">
        <v>15.965999999999999</v>
      </c>
      <c r="V72">
        <v>9.56</v>
      </c>
      <c r="W72">
        <v>4.6260000000000003</v>
      </c>
      <c r="X72">
        <v>23.715</v>
      </c>
      <c r="Y72">
        <v>-21.547999999999998</v>
      </c>
      <c r="Z72">
        <v>30.716000000000001</v>
      </c>
      <c r="AA72">
        <v>8.02</v>
      </c>
      <c r="AB72">
        <v>-7.0549999999999997</v>
      </c>
      <c r="AC72">
        <v>2.4409999999999998</v>
      </c>
      <c r="AD72">
        <v>-7.2549999999999999</v>
      </c>
      <c r="AE72">
        <v>8.3059999999999992</v>
      </c>
      <c r="AF72">
        <v>20.152000000000001</v>
      </c>
      <c r="AG72">
        <v>4.2140000000000004</v>
      </c>
      <c r="AH72">
        <v>8.6319999999999997</v>
      </c>
      <c r="AI72">
        <v>-3.867</v>
      </c>
      <c r="AJ72">
        <v>-32.22</v>
      </c>
      <c r="AK72">
        <v>19.209</v>
      </c>
      <c r="AL72">
        <v>28.888000000000002</v>
      </c>
      <c r="AM72">
        <v>4.7839999999999998</v>
      </c>
      <c r="AN72">
        <v>31.670999999999999</v>
      </c>
      <c r="AO72">
        <v>13.472</v>
      </c>
      <c r="AP72">
        <v>-19.684000000000001</v>
      </c>
      <c r="AQ72">
        <v>16.398</v>
      </c>
      <c r="AR72">
        <v>-19.533999999999999</v>
      </c>
      <c r="AS72">
        <v>3.9790000000000001</v>
      </c>
      <c r="AT72">
        <v>4.0880000000000001</v>
      </c>
      <c r="AU72">
        <v>3.59</v>
      </c>
      <c r="AV72">
        <v>2.7650000000000001</v>
      </c>
      <c r="AW72">
        <v>2.395</v>
      </c>
    </row>
    <row r="73" spans="1:49" x14ac:dyDescent="0.35">
      <c r="A73" t="s">
        <v>6</v>
      </c>
      <c r="B73" t="s">
        <v>93</v>
      </c>
      <c r="C73" t="s">
        <v>94</v>
      </c>
      <c r="D73" t="s">
        <v>95</v>
      </c>
    </row>
    <row r="74" spans="1:49" x14ac:dyDescent="0.35">
      <c r="A74" t="s">
        <v>6</v>
      </c>
      <c r="B74" t="s">
        <v>96</v>
      </c>
      <c r="C74" t="s">
        <v>97</v>
      </c>
      <c r="D74" t="s">
        <v>98</v>
      </c>
      <c r="E74" t="s">
        <v>99</v>
      </c>
    </row>
    <row r="75" spans="1:49" x14ac:dyDescent="0.35">
      <c r="A75" t="s">
        <v>6</v>
      </c>
      <c r="B75" t="s">
        <v>100</v>
      </c>
      <c r="C75" t="s">
        <v>101</v>
      </c>
      <c r="D75" t="s">
        <v>98</v>
      </c>
      <c r="E75" t="s">
        <v>99</v>
      </c>
      <c r="F75" t="s">
        <v>132</v>
      </c>
      <c r="G75">
        <v>0.98</v>
      </c>
      <c r="H75">
        <v>0.998</v>
      </c>
      <c r="I75">
        <v>1.0349999999999999</v>
      </c>
      <c r="J75">
        <v>1.073</v>
      </c>
      <c r="K75">
        <v>1.113</v>
      </c>
      <c r="L75">
        <v>1.1539999999999999</v>
      </c>
      <c r="M75">
        <v>1.1970000000000001</v>
      </c>
      <c r="N75">
        <v>1.2410000000000001</v>
      </c>
      <c r="O75">
        <v>1.286</v>
      </c>
      <c r="P75">
        <v>1.333</v>
      </c>
      <c r="Q75">
        <v>1.3819999999999999</v>
      </c>
      <c r="R75">
        <v>1.4239999999999999</v>
      </c>
      <c r="S75">
        <v>1.4650000000000001</v>
      </c>
      <c r="T75">
        <v>1.506</v>
      </c>
      <c r="U75">
        <v>1.546</v>
      </c>
      <c r="V75">
        <v>1.5860000000000001</v>
      </c>
      <c r="W75">
        <v>1.6240000000000001</v>
      </c>
      <c r="X75">
        <v>1.661</v>
      </c>
      <c r="Y75">
        <v>1.696</v>
      </c>
      <c r="Z75">
        <v>1.728</v>
      </c>
      <c r="AA75">
        <v>1.758</v>
      </c>
      <c r="AB75">
        <v>1.784</v>
      </c>
      <c r="AC75">
        <v>1.8080000000000001</v>
      </c>
      <c r="AD75">
        <v>1.83</v>
      </c>
      <c r="AE75">
        <v>1.8520000000000001</v>
      </c>
      <c r="AF75">
        <v>1.8759999999999999</v>
      </c>
      <c r="AG75">
        <v>1.901</v>
      </c>
      <c r="AH75">
        <v>1.9279999999999999</v>
      </c>
      <c r="AI75">
        <v>1.9550000000000001</v>
      </c>
      <c r="AJ75">
        <v>1.982</v>
      </c>
      <c r="AK75">
        <v>2.0070000000000001</v>
      </c>
      <c r="AL75">
        <v>2.0310000000000001</v>
      </c>
      <c r="AM75">
        <v>2.0550000000000002</v>
      </c>
      <c r="AN75">
        <v>2.0790000000000002</v>
      </c>
      <c r="AO75">
        <v>2.1040000000000001</v>
      </c>
      <c r="AP75">
        <v>2.129</v>
      </c>
      <c r="AQ75">
        <v>2.1539999999999999</v>
      </c>
      <c r="AR75">
        <v>2.1800000000000002</v>
      </c>
      <c r="AS75">
        <v>2.2050000000000001</v>
      </c>
      <c r="AT75">
        <v>2.2320000000000002</v>
      </c>
      <c r="AU75">
        <v>2.258</v>
      </c>
      <c r="AV75">
        <v>2.2850000000000001</v>
      </c>
      <c r="AW75">
        <v>2.3119999999999998</v>
      </c>
    </row>
    <row r="76" spans="1:49" x14ac:dyDescent="0.35">
      <c r="A76" t="s">
        <v>6</v>
      </c>
      <c r="B76" t="s">
        <v>103</v>
      </c>
      <c r="C76" t="s">
        <v>104</v>
      </c>
      <c r="D76" t="s">
        <v>31</v>
      </c>
      <c r="E76" t="s">
        <v>32</v>
      </c>
      <c r="F76" t="s">
        <v>133</v>
      </c>
      <c r="G76" t="s">
        <v>82</v>
      </c>
      <c r="H76" t="s">
        <v>82</v>
      </c>
      <c r="I76" t="s">
        <v>82</v>
      </c>
      <c r="J76" t="s">
        <v>82</v>
      </c>
      <c r="K76" t="s">
        <v>82</v>
      </c>
      <c r="L76" t="s">
        <v>82</v>
      </c>
      <c r="M76" t="s">
        <v>82</v>
      </c>
      <c r="N76" t="s">
        <v>82</v>
      </c>
      <c r="O76" t="s">
        <v>82</v>
      </c>
      <c r="P76" t="s">
        <v>82</v>
      </c>
      <c r="Q76" t="s">
        <v>82</v>
      </c>
      <c r="R76" t="s">
        <v>82</v>
      </c>
      <c r="S76" t="s">
        <v>82</v>
      </c>
      <c r="T76" t="s">
        <v>82</v>
      </c>
      <c r="U76" t="s">
        <v>82</v>
      </c>
      <c r="V76" t="s">
        <v>82</v>
      </c>
      <c r="W76" t="s">
        <v>82</v>
      </c>
      <c r="X76" t="s">
        <v>82</v>
      </c>
      <c r="Y76" t="s">
        <v>82</v>
      </c>
      <c r="Z76" t="s">
        <v>82</v>
      </c>
      <c r="AA76">
        <v>14.131</v>
      </c>
      <c r="AB76">
        <v>12.725</v>
      </c>
      <c r="AC76">
        <v>14.337</v>
      </c>
      <c r="AD76">
        <v>16.209</v>
      </c>
      <c r="AE76">
        <v>17.97</v>
      </c>
      <c r="AF76">
        <v>23.021000000000001</v>
      </c>
      <c r="AG76">
        <v>27.669</v>
      </c>
      <c r="AH76">
        <v>28.661999999999999</v>
      </c>
      <c r="AI76">
        <v>29.588999999999999</v>
      </c>
      <c r="AJ76">
        <v>29.05</v>
      </c>
      <c r="AK76">
        <v>31.245000000000001</v>
      </c>
      <c r="AL76">
        <v>38.546999999999997</v>
      </c>
      <c r="AM76">
        <v>41.709000000000003</v>
      </c>
      <c r="AN76">
        <v>49.006</v>
      </c>
      <c r="AO76">
        <v>55.957999999999998</v>
      </c>
      <c r="AP76">
        <v>47.473999999999997</v>
      </c>
      <c r="AQ76">
        <v>55.05</v>
      </c>
      <c r="AR76">
        <v>59.454999999999998</v>
      </c>
      <c r="AS76">
        <v>59.231000000000002</v>
      </c>
      <c r="AT76">
        <v>62.945</v>
      </c>
      <c r="AU76">
        <v>67.492999999999995</v>
      </c>
      <c r="AV76">
        <v>71.87</v>
      </c>
      <c r="AW76">
        <v>76.423000000000002</v>
      </c>
    </row>
    <row r="77" spans="1:49" x14ac:dyDescent="0.35">
      <c r="A77" t="s">
        <v>6</v>
      </c>
      <c r="B77" t="s">
        <v>103</v>
      </c>
      <c r="C77" t="s">
        <v>104</v>
      </c>
      <c r="D77" t="s">
        <v>70</v>
      </c>
      <c r="F77" t="s">
        <v>106</v>
      </c>
      <c r="G77" t="s">
        <v>82</v>
      </c>
      <c r="H77" t="s">
        <v>82</v>
      </c>
      <c r="I77" t="s">
        <v>82</v>
      </c>
      <c r="J77" t="s">
        <v>82</v>
      </c>
      <c r="K77" t="s">
        <v>82</v>
      </c>
      <c r="L77" t="s">
        <v>82</v>
      </c>
      <c r="M77" t="s">
        <v>82</v>
      </c>
      <c r="N77" t="s">
        <v>82</v>
      </c>
      <c r="O77" t="s">
        <v>82</v>
      </c>
      <c r="P77" t="s">
        <v>82</v>
      </c>
      <c r="Q77" t="s">
        <v>82</v>
      </c>
      <c r="R77" t="s">
        <v>82</v>
      </c>
      <c r="S77" t="s">
        <v>82</v>
      </c>
      <c r="T77" t="s">
        <v>82</v>
      </c>
      <c r="U77" t="s">
        <v>82</v>
      </c>
      <c r="V77" t="s">
        <v>82</v>
      </c>
      <c r="W77" t="s">
        <v>82</v>
      </c>
      <c r="X77" t="s">
        <v>82</v>
      </c>
      <c r="Y77" t="s">
        <v>82</v>
      </c>
      <c r="Z77" t="s">
        <v>82</v>
      </c>
      <c r="AA77">
        <v>46.845999999999997</v>
      </c>
      <c r="AB77">
        <v>38.970999999999997</v>
      </c>
      <c r="AC77">
        <v>40.837000000000003</v>
      </c>
      <c r="AD77">
        <v>42.216000000000001</v>
      </c>
      <c r="AE77">
        <v>40.640999999999998</v>
      </c>
      <c r="AF77">
        <v>43.566000000000003</v>
      </c>
      <c r="AG77">
        <v>45.271999999999998</v>
      </c>
      <c r="AH77">
        <v>41.512</v>
      </c>
      <c r="AI77">
        <v>39.767000000000003</v>
      </c>
      <c r="AJ77">
        <v>37.033000000000001</v>
      </c>
      <c r="AK77">
        <v>32.484000000000002</v>
      </c>
      <c r="AL77">
        <v>36.226999999999997</v>
      </c>
      <c r="AM77">
        <v>36.268999999999998</v>
      </c>
      <c r="AN77">
        <v>37.783999999999999</v>
      </c>
      <c r="AO77">
        <v>38.357999999999997</v>
      </c>
      <c r="AP77">
        <v>31.26</v>
      </c>
      <c r="AQ77">
        <v>31.942</v>
      </c>
      <c r="AR77">
        <v>32.436</v>
      </c>
      <c r="AS77">
        <v>30.323</v>
      </c>
      <c r="AT77">
        <v>30.286000000000001</v>
      </c>
      <c r="AU77">
        <v>30.558</v>
      </c>
      <c r="AV77">
        <v>30.626999999999999</v>
      </c>
      <c r="AW77">
        <v>30.646999999999998</v>
      </c>
    </row>
    <row r="78" spans="1:49" x14ac:dyDescent="0.35">
      <c r="A78" t="s">
        <v>6</v>
      </c>
      <c r="B78" t="s">
        <v>107</v>
      </c>
      <c r="C78" t="s">
        <v>108</v>
      </c>
      <c r="D78" t="s">
        <v>31</v>
      </c>
      <c r="E78" t="s">
        <v>32</v>
      </c>
      <c r="F78" t="s">
        <v>133</v>
      </c>
      <c r="G78">
        <v>0.29099999999999998</v>
      </c>
      <c r="H78">
        <v>0.33600000000000002</v>
      </c>
      <c r="I78">
        <v>0.40500000000000003</v>
      </c>
      <c r="J78">
        <v>0.46</v>
      </c>
      <c r="K78">
        <v>0.59</v>
      </c>
      <c r="L78">
        <v>0.71</v>
      </c>
      <c r="M78">
        <v>0.95899999999999996</v>
      </c>
      <c r="N78">
        <v>1.266</v>
      </c>
      <c r="O78">
        <v>1.71</v>
      </c>
      <c r="P78">
        <v>2.16</v>
      </c>
      <c r="Q78">
        <v>2.83</v>
      </c>
      <c r="R78">
        <v>3.3420000000000001</v>
      </c>
      <c r="S78">
        <v>3.7610000000000001</v>
      </c>
      <c r="T78">
        <v>4.41</v>
      </c>
      <c r="U78">
        <v>4.4340000000000002</v>
      </c>
      <c r="V78">
        <v>5.032</v>
      </c>
      <c r="W78">
        <v>5.9939999999999998</v>
      </c>
      <c r="X78">
        <v>7.2519999999999998</v>
      </c>
      <c r="Y78">
        <v>8.8640000000000008</v>
      </c>
      <c r="Z78">
        <v>10.335000000000001</v>
      </c>
      <c r="AA78">
        <v>11.536</v>
      </c>
      <c r="AB78">
        <v>13.670999999999999</v>
      </c>
      <c r="AC78">
        <v>15.71</v>
      </c>
      <c r="AD78">
        <v>16.276</v>
      </c>
      <c r="AE78">
        <v>17.382999999999999</v>
      </c>
      <c r="AF78">
        <v>17.632000000000001</v>
      </c>
      <c r="AG78">
        <v>19.736999999999998</v>
      </c>
      <c r="AH78">
        <v>24.823</v>
      </c>
      <c r="AI78">
        <v>35.15</v>
      </c>
      <c r="AJ78">
        <v>39.49</v>
      </c>
      <c r="AK78">
        <v>38.417000000000002</v>
      </c>
      <c r="AL78">
        <v>38.667999999999999</v>
      </c>
      <c r="AM78">
        <v>40.735999999999997</v>
      </c>
      <c r="AN78">
        <v>41.73</v>
      </c>
      <c r="AO78">
        <v>50.564</v>
      </c>
      <c r="AP78">
        <v>54.411000000000001</v>
      </c>
      <c r="AQ78">
        <v>56.970999999999997</v>
      </c>
      <c r="AR78">
        <v>59.543999999999997</v>
      </c>
      <c r="AS78">
        <v>62.377000000000002</v>
      </c>
      <c r="AT78">
        <v>62.497999999999998</v>
      </c>
      <c r="AU78">
        <v>65.781999999999996</v>
      </c>
      <c r="AV78">
        <v>68.39</v>
      </c>
      <c r="AW78">
        <v>71.965999999999994</v>
      </c>
    </row>
    <row r="79" spans="1:49" x14ac:dyDescent="0.35">
      <c r="A79" t="s">
        <v>6</v>
      </c>
      <c r="B79" t="s">
        <v>107</v>
      </c>
      <c r="C79" t="s">
        <v>108</v>
      </c>
      <c r="D79" t="s">
        <v>70</v>
      </c>
      <c r="F79" t="s">
        <v>109</v>
      </c>
      <c r="G79">
        <v>34.136000000000003</v>
      </c>
      <c r="H79">
        <v>37.058999999999997</v>
      </c>
      <c r="I79">
        <v>36.512999999999998</v>
      </c>
      <c r="J79">
        <v>34.253999999999998</v>
      </c>
      <c r="K79">
        <v>34.381999999999998</v>
      </c>
      <c r="L79">
        <v>31.280999999999999</v>
      </c>
      <c r="M79">
        <v>35.307000000000002</v>
      </c>
      <c r="N79">
        <v>35.756999999999998</v>
      </c>
      <c r="O79">
        <v>31.888000000000002</v>
      </c>
      <c r="P79">
        <v>33.868000000000002</v>
      </c>
      <c r="Q79">
        <v>38.72</v>
      </c>
      <c r="R79">
        <v>40.889000000000003</v>
      </c>
      <c r="S79">
        <v>42.094000000000001</v>
      </c>
      <c r="T79">
        <v>41.753999999999998</v>
      </c>
      <c r="U79">
        <v>37.408000000000001</v>
      </c>
      <c r="V79">
        <v>36.293999999999997</v>
      </c>
      <c r="W79">
        <v>35.96</v>
      </c>
      <c r="X79">
        <v>38.56</v>
      </c>
      <c r="Y79">
        <v>41.180999999999997</v>
      </c>
      <c r="Z79">
        <v>39.143000000000001</v>
      </c>
      <c r="AA79">
        <v>38.244999999999997</v>
      </c>
      <c r="AB79">
        <v>41.866</v>
      </c>
      <c r="AC79">
        <v>44.749000000000002</v>
      </c>
      <c r="AD79">
        <v>42.39</v>
      </c>
      <c r="AE79">
        <v>39.313000000000002</v>
      </c>
      <c r="AF79">
        <v>33.368000000000002</v>
      </c>
      <c r="AG79">
        <v>32.293999999999997</v>
      </c>
      <c r="AH79">
        <v>35.951999999999998</v>
      </c>
      <c r="AI79">
        <v>47.241</v>
      </c>
      <c r="AJ79">
        <v>50.341000000000001</v>
      </c>
      <c r="AK79">
        <v>39.941000000000003</v>
      </c>
      <c r="AL79">
        <v>36.340000000000003</v>
      </c>
      <c r="AM79">
        <v>35.423000000000002</v>
      </c>
      <c r="AN79">
        <v>32.173999999999999</v>
      </c>
      <c r="AO79">
        <v>34.661000000000001</v>
      </c>
      <c r="AP79">
        <v>35.829000000000001</v>
      </c>
      <c r="AQ79">
        <v>33.055999999999997</v>
      </c>
      <c r="AR79">
        <v>32.484999999999999</v>
      </c>
      <c r="AS79">
        <v>31.934000000000001</v>
      </c>
      <c r="AT79">
        <v>30.07</v>
      </c>
      <c r="AU79">
        <v>29.783999999999999</v>
      </c>
      <c r="AV79">
        <v>29.143999999999998</v>
      </c>
      <c r="AW79">
        <v>28.86</v>
      </c>
    </row>
    <row r="80" spans="1:49" x14ac:dyDescent="0.35">
      <c r="A80" t="s">
        <v>6</v>
      </c>
      <c r="B80" t="s">
        <v>110</v>
      </c>
      <c r="C80" t="s">
        <v>111</v>
      </c>
      <c r="D80" t="s">
        <v>31</v>
      </c>
      <c r="E80" t="s">
        <v>32</v>
      </c>
      <c r="F80" t="s">
        <v>133</v>
      </c>
      <c r="G80" t="s">
        <v>82</v>
      </c>
      <c r="H80" t="s">
        <v>82</v>
      </c>
      <c r="I80" t="s">
        <v>82</v>
      </c>
      <c r="J80" t="s">
        <v>82</v>
      </c>
      <c r="K80" t="s">
        <v>82</v>
      </c>
      <c r="L80" t="s">
        <v>82</v>
      </c>
      <c r="M80" t="s">
        <v>82</v>
      </c>
      <c r="N80" t="s">
        <v>82</v>
      </c>
      <c r="O80" t="s">
        <v>82</v>
      </c>
      <c r="P80" t="s">
        <v>82</v>
      </c>
      <c r="Q80" t="s">
        <v>82</v>
      </c>
      <c r="R80" t="s">
        <v>82</v>
      </c>
      <c r="S80" t="s">
        <v>82</v>
      </c>
      <c r="T80" t="s">
        <v>82</v>
      </c>
      <c r="U80" t="s">
        <v>82</v>
      </c>
      <c r="V80" t="s">
        <v>82</v>
      </c>
      <c r="W80" t="s">
        <v>82</v>
      </c>
      <c r="X80" t="s">
        <v>82</v>
      </c>
      <c r="Y80" t="s">
        <v>82</v>
      </c>
      <c r="Z80" t="s">
        <v>82</v>
      </c>
      <c r="AA80">
        <v>2.5939999999999999</v>
      </c>
      <c r="AB80">
        <v>-0.94599999999999995</v>
      </c>
      <c r="AC80">
        <v>-1.373</v>
      </c>
      <c r="AD80">
        <v>-6.7000000000000004E-2</v>
      </c>
      <c r="AE80">
        <v>0.58699999999999997</v>
      </c>
      <c r="AF80">
        <v>5.3890000000000002</v>
      </c>
      <c r="AG80">
        <v>7.9320000000000004</v>
      </c>
      <c r="AH80">
        <v>3.839</v>
      </c>
      <c r="AI80">
        <v>-5.5609999999999999</v>
      </c>
      <c r="AJ80">
        <v>-10.44</v>
      </c>
      <c r="AK80">
        <v>-7.173</v>
      </c>
      <c r="AL80">
        <v>-0.121</v>
      </c>
      <c r="AM80">
        <v>0.97299999999999998</v>
      </c>
      <c r="AN80">
        <v>7.2759999999999998</v>
      </c>
      <c r="AO80">
        <v>5.3940000000000001</v>
      </c>
      <c r="AP80">
        <v>-6.9379999999999997</v>
      </c>
      <c r="AQ80">
        <v>-1.921</v>
      </c>
      <c r="AR80">
        <v>-8.8999999999999996E-2</v>
      </c>
      <c r="AS80">
        <v>-3.1459999999999999</v>
      </c>
      <c r="AT80">
        <v>0.44800000000000001</v>
      </c>
      <c r="AU80">
        <v>1.7110000000000001</v>
      </c>
      <c r="AV80">
        <v>3.48</v>
      </c>
      <c r="AW80">
        <v>4.4569999999999999</v>
      </c>
    </row>
    <row r="81" spans="1:49" x14ac:dyDescent="0.35">
      <c r="A81" t="s">
        <v>6</v>
      </c>
      <c r="B81" t="s">
        <v>110</v>
      </c>
      <c r="C81" t="s">
        <v>111</v>
      </c>
      <c r="D81" t="s">
        <v>70</v>
      </c>
      <c r="F81" t="s">
        <v>112</v>
      </c>
      <c r="G81" t="s">
        <v>82</v>
      </c>
      <c r="H81" t="s">
        <v>82</v>
      </c>
      <c r="I81" t="s">
        <v>82</v>
      </c>
      <c r="J81" t="s">
        <v>82</v>
      </c>
      <c r="K81" t="s">
        <v>82</v>
      </c>
      <c r="L81" t="s">
        <v>82</v>
      </c>
      <c r="M81" t="s">
        <v>82</v>
      </c>
      <c r="N81" t="s">
        <v>82</v>
      </c>
      <c r="O81" t="s">
        <v>82</v>
      </c>
      <c r="P81" t="s">
        <v>82</v>
      </c>
      <c r="Q81" t="s">
        <v>82</v>
      </c>
      <c r="R81" t="s">
        <v>82</v>
      </c>
      <c r="S81" t="s">
        <v>82</v>
      </c>
      <c r="T81" t="s">
        <v>82</v>
      </c>
      <c r="U81" t="s">
        <v>82</v>
      </c>
      <c r="V81" t="s">
        <v>82</v>
      </c>
      <c r="W81" t="s">
        <v>82</v>
      </c>
      <c r="X81" t="s">
        <v>82</v>
      </c>
      <c r="Y81" t="s">
        <v>82</v>
      </c>
      <c r="Z81" t="s">
        <v>82</v>
      </c>
      <c r="AA81">
        <v>8.6010000000000009</v>
      </c>
      <c r="AB81">
        <v>-2.8959999999999999</v>
      </c>
      <c r="AC81">
        <v>-3.9119999999999999</v>
      </c>
      <c r="AD81">
        <v>-0.17399999999999999</v>
      </c>
      <c r="AE81">
        <v>1.3280000000000001</v>
      </c>
      <c r="AF81">
        <v>10.198</v>
      </c>
      <c r="AG81">
        <v>12.978</v>
      </c>
      <c r="AH81">
        <v>5.5609999999999999</v>
      </c>
      <c r="AI81">
        <v>-7.4740000000000002</v>
      </c>
      <c r="AJ81">
        <v>-13.308999999999999</v>
      </c>
      <c r="AK81">
        <v>-7.4569999999999999</v>
      </c>
      <c r="AL81">
        <v>-0.113</v>
      </c>
      <c r="AM81">
        <v>0.84599999999999997</v>
      </c>
      <c r="AN81">
        <v>5.61</v>
      </c>
      <c r="AO81">
        <v>3.6970000000000001</v>
      </c>
      <c r="AP81">
        <v>-4.5679999999999996</v>
      </c>
      <c r="AQ81">
        <v>-1.115</v>
      </c>
      <c r="AR81">
        <v>-4.9000000000000002E-2</v>
      </c>
      <c r="AS81">
        <v>-1.611</v>
      </c>
      <c r="AT81">
        <v>0.215</v>
      </c>
      <c r="AU81">
        <v>0.77500000000000002</v>
      </c>
      <c r="AV81">
        <v>1.4830000000000001</v>
      </c>
      <c r="AW81">
        <v>1.7869999999999999</v>
      </c>
    </row>
    <row r="82" spans="1:49" x14ac:dyDescent="0.35">
      <c r="A82" t="s">
        <v>6</v>
      </c>
      <c r="B82" t="s">
        <v>113</v>
      </c>
      <c r="C82" t="s">
        <v>114</v>
      </c>
      <c r="D82" t="s">
        <v>31</v>
      </c>
      <c r="E82" t="s">
        <v>32</v>
      </c>
      <c r="F82" t="s">
        <v>133</v>
      </c>
      <c r="G82" t="s">
        <v>82</v>
      </c>
      <c r="H82" t="s">
        <v>82</v>
      </c>
      <c r="I82" t="s">
        <v>82</v>
      </c>
      <c r="J82" t="s">
        <v>82</v>
      </c>
      <c r="K82" t="s">
        <v>82</v>
      </c>
      <c r="L82" t="s">
        <v>82</v>
      </c>
      <c r="M82" t="s">
        <v>82</v>
      </c>
      <c r="N82" t="s">
        <v>82</v>
      </c>
      <c r="O82" t="s">
        <v>82</v>
      </c>
      <c r="P82" t="s">
        <v>82</v>
      </c>
      <c r="Q82" t="s">
        <v>82</v>
      </c>
      <c r="R82" t="s">
        <v>82</v>
      </c>
      <c r="S82" t="s">
        <v>82</v>
      </c>
      <c r="T82" t="s">
        <v>82</v>
      </c>
      <c r="U82" t="s">
        <v>82</v>
      </c>
      <c r="V82" t="s">
        <v>82</v>
      </c>
      <c r="W82" t="s">
        <v>82</v>
      </c>
      <c r="X82" t="s">
        <v>82</v>
      </c>
      <c r="Y82" t="s">
        <v>82</v>
      </c>
      <c r="Z82" t="s">
        <v>82</v>
      </c>
      <c r="AA82">
        <v>0.77600000000000002</v>
      </c>
      <c r="AB82">
        <v>0.27200000000000002</v>
      </c>
      <c r="AC82">
        <v>2.5000000000000001E-2</v>
      </c>
      <c r="AD82">
        <v>1.42</v>
      </c>
      <c r="AE82">
        <v>2.4369999999999998</v>
      </c>
      <c r="AF82">
        <v>4.4530000000000003</v>
      </c>
      <c r="AG82">
        <v>4.7130000000000001</v>
      </c>
      <c r="AH82">
        <v>2.0640000000000001</v>
      </c>
      <c r="AI82">
        <v>-5.7560000000000002</v>
      </c>
      <c r="AJ82">
        <v>-7.4980000000000002</v>
      </c>
      <c r="AK82">
        <v>-3.718</v>
      </c>
      <c r="AL82">
        <v>-1.161</v>
      </c>
      <c r="AM82">
        <v>-0.36499999999999999</v>
      </c>
      <c r="AN82">
        <v>5.0529999999999999</v>
      </c>
      <c r="AO82">
        <v>2.9180000000000001</v>
      </c>
      <c r="AP82">
        <v>-8.7650000000000006</v>
      </c>
      <c r="AQ82">
        <v>-1.304</v>
      </c>
      <c r="AR82">
        <v>1.1890000000000001</v>
      </c>
      <c r="AS82">
        <v>-3.157</v>
      </c>
      <c r="AT82">
        <v>-0.34599999999999997</v>
      </c>
      <c r="AU82">
        <v>0.91300000000000003</v>
      </c>
      <c r="AV82">
        <v>2.6779999999999999</v>
      </c>
      <c r="AW82">
        <v>3.65</v>
      </c>
    </row>
    <row r="83" spans="1:49" x14ac:dyDescent="0.35">
      <c r="A83" t="s">
        <v>6</v>
      </c>
      <c r="B83" t="s">
        <v>113</v>
      </c>
      <c r="C83" t="s">
        <v>114</v>
      </c>
      <c r="D83" t="s">
        <v>61</v>
      </c>
    </row>
    <row r="84" spans="1:49" x14ac:dyDescent="0.35">
      <c r="A84" t="s">
        <v>6</v>
      </c>
      <c r="B84" t="s">
        <v>115</v>
      </c>
      <c r="C84" t="s">
        <v>116</v>
      </c>
      <c r="D84" t="s">
        <v>31</v>
      </c>
      <c r="E84" t="s">
        <v>32</v>
      </c>
      <c r="F84" t="s">
        <v>133</v>
      </c>
      <c r="G84" t="s">
        <v>82</v>
      </c>
      <c r="H84" t="s">
        <v>82</v>
      </c>
      <c r="I84" t="s">
        <v>82</v>
      </c>
      <c r="J84" t="s">
        <v>82</v>
      </c>
      <c r="K84" t="s">
        <v>82</v>
      </c>
      <c r="L84" t="s">
        <v>82</v>
      </c>
      <c r="M84" t="s">
        <v>82</v>
      </c>
      <c r="N84" t="s">
        <v>82</v>
      </c>
      <c r="O84" t="s">
        <v>82</v>
      </c>
      <c r="P84" t="s">
        <v>82</v>
      </c>
      <c r="Q84" t="s">
        <v>82</v>
      </c>
      <c r="R84" t="s">
        <v>82</v>
      </c>
      <c r="S84" t="s">
        <v>82</v>
      </c>
      <c r="T84" t="s">
        <v>82</v>
      </c>
      <c r="U84" t="s">
        <v>82</v>
      </c>
      <c r="V84" t="s">
        <v>82</v>
      </c>
      <c r="W84" t="s">
        <v>82</v>
      </c>
      <c r="X84" t="s">
        <v>82</v>
      </c>
      <c r="Y84" t="s">
        <v>82</v>
      </c>
      <c r="Z84" t="s">
        <v>82</v>
      </c>
      <c r="AA84">
        <v>2.6779999999999999</v>
      </c>
      <c r="AB84">
        <v>-5.3920000000000003</v>
      </c>
      <c r="AC84">
        <v>-6.0789999999999997</v>
      </c>
      <c r="AD84">
        <v>-5.6589999999999998</v>
      </c>
      <c r="AE84">
        <v>-5.2709999999999999</v>
      </c>
      <c r="AF84">
        <v>-2.4430000000000001</v>
      </c>
      <c r="AG84">
        <v>-1.1439999999999999</v>
      </c>
      <c r="AH84">
        <v>-4.476</v>
      </c>
      <c r="AI84">
        <v>-12.01</v>
      </c>
      <c r="AJ84">
        <v>-16.798999999999999</v>
      </c>
      <c r="AK84">
        <v>-15.76</v>
      </c>
      <c r="AL84">
        <v>-10.221</v>
      </c>
      <c r="AM84">
        <v>-7.17</v>
      </c>
      <c r="AN84">
        <v>-4.29</v>
      </c>
      <c r="AO84">
        <v>-7.9379999999999997</v>
      </c>
      <c r="AP84">
        <v>-17.082999999999998</v>
      </c>
      <c r="AQ84">
        <v>-16.327000000000002</v>
      </c>
      <c r="AR84">
        <v>-13.803000000000001</v>
      </c>
      <c r="AS84">
        <v>-17.547000000000001</v>
      </c>
      <c r="AT84">
        <v>-15.102</v>
      </c>
      <c r="AU84">
        <v>-14.869</v>
      </c>
      <c r="AV84">
        <v>-14.067</v>
      </c>
      <c r="AW84">
        <v>-14.079000000000001</v>
      </c>
    </row>
    <row r="85" spans="1:49" x14ac:dyDescent="0.35">
      <c r="A85" t="s">
        <v>6</v>
      </c>
      <c r="B85" t="s">
        <v>115</v>
      </c>
      <c r="C85" t="s">
        <v>116</v>
      </c>
      <c r="D85" t="s">
        <v>70</v>
      </c>
      <c r="F85" t="s">
        <v>117</v>
      </c>
      <c r="G85" t="s">
        <v>82</v>
      </c>
      <c r="H85" t="s">
        <v>82</v>
      </c>
      <c r="I85" t="s">
        <v>82</v>
      </c>
      <c r="J85" t="s">
        <v>82</v>
      </c>
      <c r="K85" t="s">
        <v>82</v>
      </c>
      <c r="L85" t="s">
        <v>82</v>
      </c>
      <c r="M85" t="s">
        <v>82</v>
      </c>
      <c r="N85" t="s">
        <v>82</v>
      </c>
      <c r="O85" t="s">
        <v>82</v>
      </c>
      <c r="P85" t="s">
        <v>82</v>
      </c>
      <c r="Q85" t="s">
        <v>82</v>
      </c>
      <c r="R85" t="s">
        <v>82</v>
      </c>
      <c r="S85" t="s">
        <v>82</v>
      </c>
      <c r="T85" t="s">
        <v>82</v>
      </c>
      <c r="U85" t="s">
        <v>82</v>
      </c>
      <c r="V85" t="s">
        <v>82</v>
      </c>
      <c r="W85" t="s">
        <v>82</v>
      </c>
      <c r="X85" t="s">
        <v>82</v>
      </c>
      <c r="Y85" t="s">
        <v>82</v>
      </c>
      <c r="Z85" t="s">
        <v>82</v>
      </c>
      <c r="AA85">
        <v>8.8759999999999994</v>
      </c>
      <c r="AB85">
        <v>-16.512</v>
      </c>
      <c r="AC85">
        <v>-17.315999999999999</v>
      </c>
      <c r="AD85">
        <v>-14.738</v>
      </c>
      <c r="AE85">
        <v>-11.920999999999999</v>
      </c>
      <c r="AF85">
        <v>-4.6239999999999997</v>
      </c>
      <c r="AG85">
        <v>-1.8720000000000001</v>
      </c>
      <c r="AH85">
        <v>-6.4820000000000002</v>
      </c>
      <c r="AI85">
        <v>-16.140999999999998</v>
      </c>
      <c r="AJ85">
        <v>-21.414999999999999</v>
      </c>
      <c r="AK85">
        <v>-16.385000000000002</v>
      </c>
      <c r="AL85">
        <v>-9.6059999999999999</v>
      </c>
      <c r="AM85">
        <v>-6.2350000000000003</v>
      </c>
      <c r="AN85">
        <v>-3.3069999999999999</v>
      </c>
      <c r="AO85">
        <v>-5.4409999999999998</v>
      </c>
      <c r="AP85">
        <v>-11.249000000000001</v>
      </c>
      <c r="AQ85">
        <v>-9.4730000000000008</v>
      </c>
      <c r="AR85">
        <v>-7.5309999999999997</v>
      </c>
      <c r="AS85">
        <v>-8.9830000000000005</v>
      </c>
      <c r="AT85">
        <v>-7.266</v>
      </c>
      <c r="AU85">
        <v>-6.7320000000000002</v>
      </c>
      <c r="AV85">
        <v>-5.9950000000000001</v>
      </c>
      <c r="AW85">
        <v>-5.6459999999999999</v>
      </c>
    </row>
    <row r="86" spans="1:49" x14ac:dyDescent="0.35">
      <c r="A86" t="s">
        <v>6</v>
      </c>
      <c r="B86" t="s">
        <v>118</v>
      </c>
      <c r="C86" t="s">
        <v>119</v>
      </c>
      <c r="D86" t="s">
        <v>31</v>
      </c>
      <c r="E86" t="s">
        <v>32</v>
      </c>
      <c r="F86" t="s">
        <v>133</v>
      </c>
      <c r="G86" t="s">
        <v>82</v>
      </c>
      <c r="H86" t="s">
        <v>82</v>
      </c>
      <c r="I86" t="s">
        <v>82</v>
      </c>
      <c r="J86" t="s">
        <v>82</v>
      </c>
      <c r="K86" t="s">
        <v>82</v>
      </c>
      <c r="L86" t="s">
        <v>82</v>
      </c>
      <c r="M86" t="s">
        <v>82</v>
      </c>
      <c r="N86" t="s">
        <v>82</v>
      </c>
      <c r="O86" t="s">
        <v>82</v>
      </c>
      <c r="P86" t="s">
        <v>82</v>
      </c>
      <c r="Q86" t="s">
        <v>82</v>
      </c>
      <c r="R86" t="s">
        <v>82</v>
      </c>
      <c r="S86" t="s">
        <v>82</v>
      </c>
      <c r="T86" t="s">
        <v>82</v>
      </c>
      <c r="U86" t="s">
        <v>82</v>
      </c>
      <c r="V86" t="s">
        <v>82</v>
      </c>
      <c r="W86" t="s">
        <v>82</v>
      </c>
      <c r="X86" t="s">
        <v>82</v>
      </c>
      <c r="Y86" t="s">
        <v>82</v>
      </c>
      <c r="Z86" t="s">
        <v>82</v>
      </c>
      <c r="AA86">
        <v>-12.103</v>
      </c>
      <c r="AB86">
        <v>-12.106999999999999</v>
      </c>
      <c r="AC86">
        <v>-14.06</v>
      </c>
      <c r="AD86">
        <v>-6.4260000000000002</v>
      </c>
      <c r="AE86">
        <v>-5.71</v>
      </c>
      <c r="AF86">
        <v>-9.4179999999999993</v>
      </c>
      <c r="AG86">
        <v>-17.518000000000001</v>
      </c>
      <c r="AH86">
        <v>-22.265999999999998</v>
      </c>
      <c r="AI86">
        <v>-26.114999999999998</v>
      </c>
      <c r="AJ86">
        <v>-9.5210000000000008</v>
      </c>
      <c r="AK86">
        <v>3.7050000000000001</v>
      </c>
      <c r="AL86">
        <v>-2.48</v>
      </c>
      <c r="AM86">
        <v>-0.53900000000000003</v>
      </c>
      <c r="AN86">
        <v>-5.9059999999999997</v>
      </c>
      <c r="AO86">
        <v>-13.641</v>
      </c>
      <c r="AP86">
        <v>-12.28</v>
      </c>
      <c r="AQ86">
        <v>-5.8250000000000002</v>
      </c>
      <c r="AR86">
        <v>-4.4610000000000003</v>
      </c>
      <c r="AS86">
        <v>-2.694</v>
      </c>
      <c r="AT86">
        <v>-3.4980000000000002</v>
      </c>
      <c r="AU86">
        <v>-4.6779999999999999</v>
      </c>
      <c r="AV86">
        <v>-7.2830000000000004</v>
      </c>
      <c r="AW86">
        <v>-10.433999999999999</v>
      </c>
    </row>
    <row r="87" spans="1:49" x14ac:dyDescent="0.35">
      <c r="A87" t="s">
        <v>6</v>
      </c>
      <c r="B87" t="s">
        <v>118</v>
      </c>
      <c r="C87" t="s">
        <v>119</v>
      </c>
      <c r="D87" t="s">
        <v>70</v>
      </c>
      <c r="F87" t="s">
        <v>134</v>
      </c>
      <c r="G87" t="s">
        <v>82</v>
      </c>
      <c r="H87" t="s">
        <v>82</v>
      </c>
      <c r="I87" t="s">
        <v>82</v>
      </c>
      <c r="J87" t="s">
        <v>82</v>
      </c>
      <c r="K87" t="s">
        <v>82</v>
      </c>
      <c r="L87" t="s">
        <v>82</v>
      </c>
      <c r="M87" t="s">
        <v>82</v>
      </c>
      <c r="N87" t="s">
        <v>82</v>
      </c>
      <c r="O87" t="s">
        <v>82</v>
      </c>
      <c r="P87" t="s">
        <v>82</v>
      </c>
      <c r="Q87" t="s">
        <v>82</v>
      </c>
      <c r="R87" t="s">
        <v>82</v>
      </c>
      <c r="S87" t="s">
        <v>82</v>
      </c>
      <c r="T87" t="s">
        <v>82</v>
      </c>
      <c r="U87" t="s">
        <v>82</v>
      </c>
      <c r="V87" t="s">
        <v>82</v>
      </c>
      <c r="W87" t="s">
        <v>82</v>
      </c>
      <c r="X87" t="s">
        <v>82</v>
      </c>
      <c r="Y87" t="s">
        <v>82</v>
      </c>
      <c r="Z87" t="s">
        <v>82</v>
      </c>
      <c r="AA87">
        <v>-40.122999999999998</v>
      </c>
      <c r="AB87">
        <v>-37.079000000000001</v>
      </c>
      <c r="AC87">
        <v>-40.048000000000002</v>
      </c>
      <c r="AD87">
        <v>-16.736999999999998</v>
      </c>
      <c r="AE87">
        <v>-12.914</v>
      </c>
      <c r="AF87">
        <v>-17.824000000000002</v>
      </c>
      <c r="AG87">
        <v>-28.661999999999999</v>
      </c>
      <c r="AH87">
        <v>-32.249000000000002</v>
      </c>
      <c r="AI87">
        <v>-35.097999999999999</v>
      </c>
      <c r="AJ87">
        <v>-12.138</v>
      </c>
      <c r="AK87">
        <v>3.8519999999999999</v>
      </c>
      <c r="AL87">
        <v>-2.331</v>
      </c>
      <c r="AM87">
        <v>-0.46800000000000003</v>
      </c>
      <c r="AN87">
        <v>-4.5540000000000003</v>
      </c>
      <c r="AO87">
        <v>-9.35</v>
      </c>
      <c r="AP87">
        <v>-8.0860000000000003</v>
      </c>
      <c r="AQ87">
        <v>-3.38</v>
      </c>
      <c r="AR87">
        <v>-2.4340000000000002</v>
      </c>
      <c r="AS87">
        <v>-1.379</v>
      </c>
      <c r="AT87">
        <v>-1.6830000000000001</v>
      </c>
      <c r="AU87">
        <v>-2.1179999999999999</v>
      </c>
      <c r="AV87">
        <v>-3.1040000000000001</v>
      </c>
      <c r="AW87">
        <v>-4.1840000000000002</v>
      </c>
    </row>
    <row r="88" spans="1:49" x14ac:dyDescent="0.35">
      <c r="A88" t="s">
        <v>6</v>
      </c>
      <c r="B88" t="s">
        <v>120</v>
      </c>
      <c r="C88" t="s">
        <v>121</v>
      </c>
      <c r="D88" t="s">
        <v>31</v>
      </c>
      <c r="E88" t="s">
        <v>32</v>
      </c>
      <c r="F88" t="s">
        <v>133</v>
      </c>
      <c r="G88" t="s">
        <v>82</v>
      </c>
      <c r="H88" t="s">
        <v>82</v>
      </c>
      <c r="I88" t="s">
        <v>82</v>
      </c>
      <c r="J88" t="s">
        <v>82</v>
      </c>
      <c r="K88" t="s">
        <v>82</v>
      </c>
      <c r="L88" t="s">
        <v>82</v>
      </c>
      <c r="M88" t="s">
        <v>82</v>
      </c>
      <c r="N88" t="s">
        <v>82</v>
      </c>
      <c r="O88" t="s">
        <v>82</v>
      </c>
      <c r="P88" t="s">
        <v>82</v>
      </c>
      <c r="Q88" t="s">
        <v>82</v>
      </c>
      <c r="R88" t="s">
        <v>82</v>
      </c>
      <c r="S88" t="s">
        <v>82</v>
      </c>
      <c r="T88" t="s">
        <v>82</v>
      </c>
      <c r="U88" t="s">
        <v>82</v>
      </c>
      <c r="V88" t="s">
        <v>82</v>
      </c>
      <c r="W88" t="s">
        <v>82</v>
      </c>
      <c r="X88" t="s">
        <v>82</v>
      </c>
      <c r="Y88">
        <v>2.423</v>
      </c>
      <c r="Z88">
        <v>2.4249999999999998</v>
      </c>
      <c r="AA88">
        <v>2.4260000000000002</v>
      </c>
      <c r="AB88">
        <v>2.9169999999999998</v>
      </c>
      <c r="AC88">
        <v>2.9169999999999998</v>
      </c>
      <c r="AD88">
        <v>4.4889999999999999</v>
      </c>
      <c r="AE88">
        <v>3.9390000000000001</v>
      </c>
      <c r="AF88">
        <v>3.8929999999999998</v>
      </c>
      <c r="AG88">
        <v>3.8069999999999999</v>
      </c>
      <c r="AH88">
        <v>5.694</v>
      </c>
      <c r="AI88">
        <v>5.694</v>
      </c>
      <c r="AJ88">
        <v>13.776</v>
      </c>
      <c r="AK88">
        <v>18.631</v>
      </c>
      <c r="AL88">
        <v>21.619</v>
      </c>
      <c r="AM88">
        <v>21.763999999999999</v>
      </c>
      <c r="AN88">
        <v>22.65</v>
      </c>
      <c r="AO88">
        <v>25.31</v>
      </c>
      <c r="AP88">
        <v>24.873999999999999</v>
      </c>
      <c r="AQ88">
        <v>26.661999999999999</v>
      </c>
      <c r="AR88">
        <v>28.323</v>
      </c>
      <c r="AS88">
        <v>29.234000000000002</v>
      </c>
      <c r="AT88">
        <v>27.370999999999999</v>
      </c>
      <c r="AU88">
        <v>26.085000000000001</v>
      </c>
      <c r="AV88">
        <v>24.157</v>
      </c>
      <c r="AW88">
        <v>22.341000000000001</v>
      </c>
    </row>
    <row r="89" spans="1:49" x14ac:dyDescent="0.35">
      <c r="A89" t="s">
        <v>6</v>
      </c>
      <c r="B89" t="s">
        <v>120</v>
      </c>
      <c r="C89" t="s">
        <v>121</v>
      </c>
      <c r="D89" t="s">
        <v>70</v>
      </c>
      <c r="F89" t="s">
        <v>122</v>
      </c>
      <c r="G89" t="s">
        <v>82</v>
      </c>
      <c r="H89" t="s">
        <v>82</v>
      </c>
      <c r="I89" t="s">
        <v>82</v>
      </c>
      <c r="J89" t="s">
        <v>82</v>
      </c>
      <c r="K89" t="s">
        <v>82</v>
      </c>
      <c r="L89" t="s">
        <v>82</v>
      </c>
      <c r="M89" t="s">
        <v>82</v>
      </c>
      <c r="N89" t="s">
        <v>82</v>
      </c>
      <c r="O89" t="s">
        <v>82</v>
      </c>
      <c r="P89" t="s">
        <v>82</v>
      </c>
      <c r="Q89" t="s">
        <v>82</v>
      </c>
      <c r="R89" t="s">
        <v>82</v>
      </c>
      <c r="S89" t="s">
        <v>82</v>
      </c>
      <c r="T89" t="s">
        <v>82</v>
      </c>
      <c r="U89" t="s">
        <v>82</v>
      </c>
      <c r="V89" t="s">
        <v>82</v>
      </c>
      <c r="W89" t="s">
        <v>82</v>
      </c>
      <c r="X89" t="s">
        <v>82</v>
      </c>
      <c r="Y89">
        <v>11.257</v>
      </c>
      <c r="Z89">
        <v>9.1850000000000005</v>
      </c>
      <c r="AA89">
        <v>8.0429999999999993</v>
      </c>
      <c r="AB89">
        <v>8.9339999999999993</v>
      </c>
      <c r="AC89">
        <v>8.31</v>
      </c>
      <c r="AD89">
        <v>11.693</v>
      </c>
      <c r="AE89">
        <v>8.9090000000000007</v>
      </c>
      <c r="AF89">
        <v>7.3680000000000003</v>
      </c>
      <c r="AG89">
        <v>6.2279999999999998</v>
      </c>
      <c r="AH89">
        <v>8.2460000000000004</v>
      </c>
      <c r="AI89">
        <v>7.6520000000000001</v>
      </c>
      <c r="AJ89">
        <v>17.561</v>
      </c>
      <c r="AK89">
        <v>19.37</v>
      </c>
      <c r="AL89">
        <v>20.318000000000001</v>
      </c>
      <c r="AM89">
        <v>18.925999999999998</v>
      </c>
      <c r="AN89">
        <v>17.463000000000001</v>
      </c>
      <c r="AO89">
        <v>17.350000000000001</v>
      </c>
      <c r="AP89">
        <v>16.379000000000001</v>
      </c>
      <c r="AQ89">
        <v>15.47</v>
      </c>
      <c r="AR89">
        <v>15.452</v>
      </c>
      <c r="AS89">
        <v>14.965999999999999</v>
      </c>
      <c r="AT89">
        <v>13.169</v>
      </c>
      <c r="AU89">
        <v>11.81</v>
      </c>
      <c r="AV89">
        <v>10.295</v>
      </c>
      <c r="AW89">
        <v>8.9589999999999996</v>
      </c>
    </row>
    <row r="90" spans="1:49" x14ac:dyDescent="0.35">
      <c r="A90" t="s">
        <v>6</v>
      </c>
      <c r="B90" t="s">
        <v>123</v>
      </c>
      <c r="C90" t="s">
        <v>124</v>
      </c>
      <c r="D90" t="s">
        <v>31</v>
      </c>
      <c r="E90" t="s">
        <v>32</v>
      </c>
      <c r="F90" t="s">
        <v>133</v>
      </c>
      <c r="G90">
        <v>0.85199999999999998</v>
      </c>
      <c r="H90">
        <v>0.90800000000000003</v>
      </c>
      <c r="I90">
        <v>1.109</v>
      </c>
      <c r="J90">
        <v>1.343</v>
      </c>
      <c r="K90">
        <v>1.7170000000000001</v>
      </c>
      <c r="L90">
        <v>2.27</v>
      </c>
      <c r="M90">
        <v>2.7160000000000002</v>
      </c>
      <c r="N90">
        <v>3.5419999999999998</v>
      </c>
      <c r="O90">
        <v>5.3620000000000001</v>
      </c>
      <c r="P90">
        <v>6.3769999999999998</v>
      </c>
      <c r="Q90">
        <v>7.3090000000000002</v>
      </c>
      <c r="R90">
        <v>8.1739999999999995</v>
      </c>
      <c r="S90">
        <v>8.9339999999999993</v>
      </c>
      <c r="T90">
        <v>10.561</v>
      </c>
      <c r="U90">
        <v>11.853999999999999</v>
      </c>
      <c r="V90">
        <v>13.864000000000001</v>
      </c>
      <c r="W90">
        <v>16.667999999999999</v>
      </c>
      <c r="X90">
        <v>18.806999999999999</v>
      </c>
      <c r="Y90">
        <v>21.523</v>
      </c>
      <c r="Z90">
        <v>26.404</v>
      </c>
      <c r="AA90">
        <v>30.164999999999999</v>
      </c>
      <c r="AB90">
        <v>32.652999999999999</v>
      </c>
      <c r="AC90">
        <v>35.106999999999999</v>
      </c>
      <c r="AD90">
        <v>38.395000000000003</v>
      </c>
      <c r="AE90">
        <v>44.216000000000001</v>
      </c>
      <c r="AF90">
        <v>52.841000000000001</v>
      </c>
      <c r="AG90">
        <v>61.118000000000002</v>
      </c>
      <c r="AH90">
        <v>69.045000000000002</v>
      </c>
      <c r="AI90">
        <v>74.406000000000006</v>
      </c>
      <c r="AJ90">
        <v>78.444000000000003</v>
      </c>
      <c r="AK90">
        <v>96.186000000000007</v>
      </c>
      <c r="AL90">
        <v>106.404</v>
      </c>
      <c r="AM90">
        <v>115</v>
      </c>
      <c r="AN90">
        <v>129.69999999999999</v>
      </c>
      <c r="AO90">
        <v>145.88200000000001</v>
      </c>
      <c r="AP90">
        <v>151.86500000000001</v>
      </c>
      <c r="AQ90">
        <v>172.346</v>
      </c>
      <c r="AR90">
        <v>183.298</v>
      </c>
      <c r="AS90">
        <v>195.33</v>
      </c>
      <c r="AT90">
        <v>207.84</v>
      </c>
      <c r="AU90">
        <v>220.86699999999999</v>
      </c>
      <c r="AV90">
        <v>234.661</v>
      </c>
      <c r="AW90">
        <v>249.36099999999999</v>
      </c>
    </row>
    <row r="91" spans="1:49" x14ac:dyDescent="0.35">
      <c r="A91" t="s">
        <v>6</v>
      </c>
      <c r="B91" t="s">
        <v>125</v>
      </c>
      <c r="C91" t="s">
        <v>126</v>
      </c>
      <c r="D91" t="s">
        <v>41</v>
      </c>
      <c r="E91" t="s">
        <v>32</v>
      </c>
      <c r="F91" t="s">
        <v>135</v>
      </c>
      <c r="G91">
        <v>-0.151</v>
      </c>
      <c r="H91">
        <v>-0.30399999999999999</v>
      </c>
      <c r="I91">
        <v>-0.14499999999999999</v>
      </c>
      <c r="J91">
        <v>-7.9000000000000001E-2</v>
      </c>
      <c r="K91">
        <v>-5.8999999999999997E-2</v>
      </c>
      <c r="L91">
        <v>8.2000000000000003E-2</v>
      </c>
      <c r="M91">
        <v>0.109</v>
      </c>
      <c r="N91">
        <v>0.628</v>
      </c>
      <c r="O91">
        <v>0.19400000000000001</v>
      </c>
      <c r="P91">
        <v>0.49199999999999999</v>
      </c>
      <c r="Q91">
        <v>-1.9E-2</v>
      </c>
      <c r="R91">
        <v>0.30299999999999999</v>
      </c>
      <c r="S91">
        <v>0.19800000000000001</v>
      </c>
      <c r="T91">
        <v>0.42699999999999999</v>
      </c>
      <c r="U91">
        <v>0.222</v>
      </c>
      <c r="V91">
        <v>0.3</v>
      </c>
      <c r="W91">
        <v>0.495</v>
      </c>
      <c r="X91">
        <v>0.72099999999999997</v>
      </c>
      <c r="Y91">
        <v>0.17</v>
      </c>
      <c r="Z91">
        <v>0.58299999999999996</v>
      </c>
      <c r="AA91">
        <v>0.54500000000000004</v>
      </c>
      <c r="AB91">
        <v>0.67800000000000005</v>
      </c>
      <c r="AC91">
        <v>0.28599999999999998</v>
      </c>
      <c r="AD91">
        <v>0.68300000000000005</v>
      </c>
      <c r="AE91">
        <v>0.35099999999999998</v>
      </c>
      <c r="AF91">
        <v>1.6339999999999999</v>
      </c>
      <c r="AG91">
        <v>1.9570000000000001</v>
      </c>
      <c r="AH91">
        <v>1.6519999999999999</v>
      </c>
      <c r="AI91">
        <v>-0.12</v>
      </c>
      <c r="AJ91">
        <v>-0.64800000000000002</v>
      </c>
      <c r="AK91">
        <v>-0.35599999999999998</v>
      </c>
      <c r="AL91">
        <v>0.47499999999999998</v>
      </c>
      <c r="AM91">
        <v>4.5999999999999999E-2</v>
      </c>
      <c r="AN91">
        <v>1.3220000000000001</v>
      </c>
      <c r="AO91">
        <v>2.496</v>
      </c>
      <c r="AP91">
        <v>1.121</v>
      </c>
      <c r="AQ91">
        <v>1.8240000000000001</v>
      </c>
      <c r="AR91">
        <v>0.746</v>
      </c>
      <c r="AS91">
        <v>0.48399999999999999</v>
      </c>
      <c r="AT91">
        <v>0.47799999999999998</v>
      </c>
      <c r="AU91">
        <v>0.59299999999999997</v>
      </c>
      <c r="AV91">
        <v>0.69799999999999995</v>
      </c>
      <c r="AW91">
        <v>0.79100000000000004</v>
      </c>
    </row>
    <row r="92" spans="1:49" x14ac:dyDescent="0.35">
      <c r="A92" t="s">
        <v>6</v>
      </c>
      <c r="B92" t="s">
        <v>125</v>
      </c>
      <c r="C92" t="s">
        <v>126</v>
      </c>
      <c r="D92" t="s">
        <v>70</v>
      </c>
      <c r="F92" t="s">
        <v>128</v>
      </c>
      <c r="G92">
        <v>-12.85</v>
      </c>
      <c r="H92">
        <v>-29.265000000000001</v>
      </c>
      <c r="I92">
        <v>-13.21</v>
      </c>
      <c r="J92">
        <v>-6.5270000000000001</v>
      </c>
      <c r="K92">
        <v>-4.8920000000000003</v>
      </c>
      <c r="L92">
        <v>7.327</v>
      </c>
      <c r="M92">
        <v>7.1660000000000004</v>
      </c>
      <c r="N92">
        <v>26.454000000000001</v>
      </c>
      <c r="O92">
        <v>6.2869999999999999</v>
      </c>
      <c r="P92">
        <v>14.282999999999999</v>
      </c>
      <c r="Q92">
        <v>-0.50700000000000001</v>
      </c>
      <c r="R92">
        <v>7.9589999999999996</v>
      </c>
      <c r="S92">
        <v>5.0279999999999996</v>
      </c>
      <c r="T92">
        <v>10.78</v>
      </c>
      <c r="U92">
        <v>5.2009999999999996</v>
      </c>
      <c r="V92">
        <v>6.3330000000000002</v>
      </c>
      <c r="W92">
        <v>10.14</v>
      </c>
      <c r="X92">
        <v>14.359</v>
      </c>
      <c r="Y92">
        <v>3.5219999999999998</v>
      </c>
      <c r="Z92">
        <v>10.638</v>
      </c>
      <c r="AA92">
        <v>9.3940000000000001</v>
      </c>
      <c r="AB92">
        <v>12.294</v>
      </c>
      <c r="AC92">
        <v>5.2460000000000004</v>
      </c>
      <c r="AD92">
        <v>9.0660000000000007</v>
      </c>
      <c r="AE92">
        <v>3.9119999999999999</v>
      </c>
      <c r="AF92">
        <v>16.294</v>
      </c>
      <c r="AG92">
        <v>19.254000000000001</v>
      </c>
      <c r="AH92">
        <v>15.096</v>
      </c>
      <c r="AI92">
        <v>-1.093</v>
      </c>
      <c r="AJ92">
        <v>-6.2830000000000004</v>
      </c>
      <c r="AK92">
        <v>-2.59</v>
      </c>
      <c r="AL92">
        <v>3.1</v>
      </c>
      <c r="AM92">
        <v>0.311</v>
      </c>
      <c r="AN92">
        <v>8.9250000000000007</v>
      </c>
      <c r="AO92">
        <v>15.352</v>
      </c>
      <c r="AP92">
        <v>7.7629999999999999</v>
      </c>
      <c r="AQ92">
        <v>11.714</v>
      </c>
      <c r="AR92">
        <v>4.4619999999999997</v>
      </c>
      <c r="AS92">
        <v>2.7589999999999999</v>
      </c>
      <c r="AT92">
        <v>2.6219999999999999</v>
      </c>
      <c r="AU92">
        <v>3.1349999999999998</v>
      </c>
      <c r="AV92">
        <v>3.5590000000000002</v>
      </c>
      <c r="AW92">
        <v>3.8820000000000001</v>
      </c>
    </row>
    <row r="93" spans="1:49" x14ac:dyDescent="0.35">
      <c r="A93" t="s">
        <v>136</v>
      </c>
      <c r="B93" t="s">
        <v>29</v>
      </c>
      <c r="C93" t="s">
        <v>30</v>
      </c>
      <c r="D93" t="s">
        <v>31</v>
      </c>
      <c r="E93" t="s">
        <v>32</v>
      </c>
      <c r="F93" t="s">
        <v>137</v>
      </c>
      <c r="G93">
        <v>74.2</v>
      </c>
      <c r="H93">
        <v>78.253</v>
      </c>
      <c r="I93">
        <v>81.429000000000002</v>
      </c>
      <c r="J93">
        <v>83.947000000000003</v>
      </c>
      <c r="K93">
        <v>87.444999999999993</v>
      </c>
      <c r="L93">
        <v>89.194000000000003</v>
      </c>
      <c r="M93">
        <v>90.977999999999994</v>
      </c>
      <c r="N93">
        <v>92.468000000000004</v>
      </c>
      <c r="O93">
        <v>94.953000000000003</v>
      </c>
      <c r="P93">
        <v>91.933000000000007</v>
      </c>
      <c r="Q93">
        <v>96.616</v>
      </c>
      <c r="R93">
        <v>91.400999999999996</v>
      </c>
      <c r="S93">
        <v>99.197999999999993</v>
      </c>
      <c r="T93">
        <v>102.18</v>
      </c>
      <c r="U93">
        <v>96.787999999999997</v>
      </c>
      <c r="V93">
        <v>100.282</v>
      </c>
      <c r="W93">
        <v>98.938000000000002</v>
      </c>
      <c r="X93">
        <v>103.10899999999999</v>
      </c>
      <c r="Y93">
        <v>104.297</v>
      </c>
      <c r="Z93">
        <v>106.30500000000001</v>
      </c>
      <c r="AA93">
        <v>107.81100000000001</v>
      </c>
      <c r="AB93">
        <v>111.4</v>
      </c>
      <c r="AC93">
        <v>116.023</v>
      </c>
      <c r="AD93">
        <v>118.89400000000001</v>
      </c>
      <c r="AE93">
        <v>118.60899999999999</v>
      </c>
      <c r="AF93">
        <v>123.626</v>
      </c>
      <c r="AG93">
        <v>125.161</v>
      </c>
      <c r="AH93">
        <v>125.776</v>
      </c>
      <c r="AI93">
        <v>127.002</v>
      </c>
      <c r="AJ93">
        <v>129.30099999999999</v>
      </c>
      <c r="AK93">
        <v>131.95400000000001</v>
      </c>
      <c r="AL93">
        <v>134.893</v>
      </c>
      <c r="AM93">
        <v>138.886</v>
      </c>
      <c r="AN93">
        <v>143.773</v>
      </c>
      <c r="AO93">
        <v>146.577</v>
      </c>
      <c r="AP93">
        <v>148.09299999999999</v>
      </c>
      <c r="AQ93">
        <v>151.28800000000001</v>
      </c>
      <c r="AR93">
        <v>156.28399999999999</v>
      </c>
      <c r="AS93">
        <v>162.53100000000001</v>
      </c>
      <c r="AT93">
        <v>169.03200000000001</v>
      </c>
      <c r="AU93">
        <v>175.79300000000001</v>
      </c>
      <c r="AV93">
        <v>182.82499999999999</v>
      </c>
      <c r="AW93">
        <v>190.13800000000001</v>
      </c>
    </row>
    <row r="94" spans="1:49" x14ac:dyDescent="0.35">
      <c r="A94" t="s">
        <v>136</v>
      </c>
      <c r="B94" t="s">
        <v>29</v>
      </c>
      <c r="C94" t="s">
        <v>34</v>
      </c>
      <c r="D94" t="s">
        <v>35</v>
      </c>
      <c r="F94" t="s">
        <v>36</v>
      </c>
      <c r="G94">
        <v>7.383</v>
      </c>
      <c r="H94">
        <v>5.4619999999999997</v>
      </c>
      <c r="I94">
        <v>4.0579999999999998</v>
      </c>
      <c r="J94">
        <v>3.093</v>
      </c>
      <c r="K94">
        <v>4.1669999999999998</v>
      </c>
      <c r="L94">
        <v>2</v>
      </c>
      <c r="M94">
        <v>2</v>
      </c>
      <c r="N94">
        <v>1.6379999999999999</v>
      </c>
      <c r="O94">
        <v>2.6880000000000002</v>
      </c>
      <c r="P94">
        <v>-3.181</v>
      </c>
      <c r="Q94">
        <v>5.0940000000000003</v>
      </c>
      <c r="R94">
        <v>-5.3979999999999997</v>
      </c>
      <c r="S94">
        <v>8.5310000000000006</v>
      </c>
      <c r="T94">
        <v>3.0059999999999998</v>
      </c>
      <c r="U94">
        <v>-5.2770000000000001</v>
      </c>
      <c r="V94">
        <v>3.61</v>
      </c>
      <c r="W94">
        <v>-1.34</v>
      </c>
      <c r="X94">
        <v>4.2160000000000002</v>
      </c>
      <c r="Y94">
        <v>1.153</v>
      </c>
      <c r="Z94">
        <v>1.9239999999999999</v>
      </c>
      <c r="AA94">
        <v>1.417</v>
      </c>
      <c r="AB94">
        <v>3.3290000000000002</v>
      </c>
      <c r="AC94">
        <v>4.1500000000000004</v>
      </c>
      <c r="AD94">
        <v>2.4740000000000002</v>
      </c>
      <c r="AE94">
        <v>-0.23899999999999999</v>
      </c>
      <c r="AF94">
        <v>4.2300000000000004</v>
      </c>
      <c r="AG94">
        <v>1.242</v>
      </c>
      <c r="AH94">
        <v>0.49199999999999999</v>
      </c>
      <c r="AI94">
        <v>0.97499999999999998</v>
      </c>
      <c r="AJ94">
        <v>1.81</v>
      </c>
      <c r="AK94">
        <v>2.0510000000000002</v>
      </c>
      <c r="AL94">
        <v>2.2269999999999999</v>
      </c>
      <c r="AM94">
        <v>2.9609999999999999</v>
      </c>
      <c r="AN94">
        <v>3.5179999999999998</v>
      </c>
      <c r="AO94">
        <v>1.95</v>
      </c>
      <c r="AP94">
        <v>1.034</v>
      </c>
      <c r="AQ94">
        <v>2.157</v>
      </c>
      <c r="AR94">
        <v>3.3029999999999999</v>
      </c>
      <c r="AS94">
        <v>3.9969999999999999</v>
      </c>
      <c r="AT94">
        <v>4</v>
      </c>
      <c r="AU94">
        <v>4</v>
      </c>
      <c r="AV94">
        <v>4</v>
      </c>
      <c r="AW94">
        <v>4</v>
      </c>
    </row>
    <row r="95" spans="1:49" x14ac:dyDescent="0.35">
      <c r="A95" t="s">
        <v>136</v>
      </c>
      <c r="B95" t="s">
        <v>37</v>
      </c>
      <c r="C95" t="s">
        <v>38</v>
      </c>
      <c r="D95" t="s">
        <v>31</v>
      </c>
      <c r="E95" t="s">
        <v>32</v>
      </c>
      <c r="F95" t="s">
        <v>137</v>
      </c>
      <c r="G95">
        <v>32.067999999999998</v>
      </c>
      <c r="H95">
        <v>36.087000000000003</v>
      </c>
      <c r="I95">
        <v>41.424999999999997</v>
      </c>
      <c r="J95">
        <v>46.622</v>
      </c>
      <c r="K95">
        <v>51.527999999999999</v>
      </c>
      <c r="L95">
        <v>53.847000000000001</v>
      </c>
      <c r="M95">
        <v>56.27</v>
      </c>
      <c r="N95">
        <v>59.034999999999997</v>
      </c>
      <c r="O95">
        <v>61.795999999999999</v>
      </c>
      <c r="P95">
        <v>63.396999999999998</v>
      </c>
      <c r="Q95">
        <v>68.075999999999993</v>
      </c>
      <c r="R95">
        <v>73.268000000000001</v>
      </c>
      <c r="S95">
        <v>74.335999999999999</v>
      </c>
      <c r="T95">
        <v>78.680000000000007</v>
      </c>
      <c r="U95">
        <v>77.350999999999999</v>
      </c>
      <c r="V95">
        <v>86.811999999999998</v>
      </c>
      <c r="W95">
        <v>88.432000000000002</v>
      </c>
      <c r="X95">
        <v>92.834999999999994</v>
      </c>
      <c r="Y95">
        <v>95.302999999999997</v>
      </c>
      <c r="Z95">
        <v>102.782</v>
      </c>
      <c r="AA95">
        <v>107.81100000000001</v>
      </c>
      <c r="AB95">
        <v>121.015</v>
      </c>
      <c r="AC95">
        <v>131.29300000000001</v>
      </c>
      <c r="AD95">
        <v>141.43700000000001</v>
      </c>
      <c r="AE95">
        <v>143.596</v>
      </c>
      <c r="AF95">
        <v>153.11199999999999</v>
      </c>
      <c r="AG95">
        <v>158.114</v>
      </c>
      <c r="AH95">
        <v>167.126</v>
      </c>
      <c r="AI95">
        <v>178.047</v>
      </c>
      <c r="AJ95">
        <v>189.542</v>
      </c>
      <c r="AK95">
        <v>201.84899999999999</v>
      </c>
      <c r="AL95">
        <v>216.03899999999999</v>
      </c>
      <c r="AM95">
        <v>228.18899999999999</v>
      </c>
      <c r="AN95">
        <v>243.60599999999999</v>
      </c>
      <c r="AO95">
        <v>253.42500000000001</v>
      </c>
      <c r="AP95">
        <v>259.71300000000002</v>
      </c>
      <c r="AQ95">
        <v>272.613</v>
      </c>
      <c r="AR95">
        <v>287.59699999999998</v>
      </c>
      <c r="AS95">
        <v>305.73099999999999</v>
      </c>
      <c r="AT95">
        <v>324.95</v>
      </c>
      <c r="AU95">
        <v>345.67899999999997</v>
      </c>
      <c r="AV95">
        <v>367.65300000000002</v>
      </c>
      <c r="AW95">
        <v>391.01100000000002</v>
      </c>
    </row>
    <row r="96" spans="1:49" x14ac:dyDescent="0.35">
      <c r="A96" t="s">
        <v>136</v>
      </c>
      <c r="B96" t="s">
        <v>37</v>
      </c>
      <c r="C96" t="s">
        <v>40</v>
      </c>
      <c r="D96" t="s">
        <v>41</v>
      </c>
      <c r="E96" t="s">
        <v>32</v>
      </c>
      <c r="F96" t="s">
        <v>42</v>
      </c>
      <c r="G96">
        <v>0.152</v>
      </c>
      <c r="H96">
        <v>0.13300000000000001</v>
      </c>
      <c r="I96">
        <v>0.126</v>
      </c>
      <c r="J96">
        <v>0.122</v>
      </c>
      <c r="K96">
        <v>0.11799999999999999</v>
      </c>
      <c r="L96">
        <v>0.12</v>
      </c>
      <c r="M96">
        <v>0.16200000000000001</v>
      </c>
      <c r="N96">
        <v>0.19600000000000001</v>
      </c>
      <c r="O96">
        <v>0.20699999999999999</v>
      </c>
      <c r="P96">
        <v>0.19900000000000001</v>
      </c>
      <c r="Q96">
        <v>0.25</v>
      </c>
      <c r="R96">
        <v>0.26</v>
      </c>
      <c r="S96">
        <v>0.28100000000000003</v>
      </c>
      <c r="T96">
        <v>0.27800000000000002</v>
      </c>
      <c r="U96">
        <v>0.186</v>
      </c>
      <c r="V96">
        <v>0.23200000000000001</v>
      </c>
      <c r="W96">
        <v>0.23</v>
      </c>
      <c r="X96">
        <v>0.21199999999999999</v>
      </c>
      <c r="Y96">
        <v>0.216</v>
      </c>
      <c r="Z96">
        <v>0.223</v>
      </c>
      <c r="AA96">
        <v>0.20200000000000001</v>
      </c>
      <c r="AB96">
        <v>0.22</v>
      </c>
      <c r="AC96">
        <v>0.252</v>
      </c>
      <c r="AD96">
        <v>0.32500000000000001</v>
      </c>
      <c r="AE96">
        <v>0.36299999999999999</v>
      </c>
      <c r="AF96">
        <v>0.38800000000000001</v>
      </c>
      <c r="AG96">
        <v>0.40400000000000003</v>
      </c>
      <c r="AH96">
        <v>0.46600000000000003</v>
      </c>
      <c r="AI96">
        <v>0.53300000000000003</v>
      </c>
      <c r="AJ96">
        <v>0.53700000000000003</v>
      </c>
      <c r="AK96">
        <v>0.54400000000000004</v>
      </c>
      <c r="AL96">
        <v>0.61099999999999999</v>
      </c>
      <c r="AM96">
        <v>0.59599999999999997</v>
      </c>
      <c r="AN96">
        <v>0.65800000000000003</v>
      </c>
      <c r="AO96">
        <v>0.68500000000000005</v>
      </c>
      <c r="AP96">
        <v>0.58599999999999997</v>
      </c>
      <c r="AQ96">
        <v>0.61299999999999999</v>
      </c>
      <c r="AR96">
        <v>0.65900000000000003</v>
      </c>
      <c r="AS96">
        <v>0.73099999999999998</v>
      </c>
      <c r="AT96">
        <v>0.78100000000000003</v>
      </c>
      <c r="AU96">
        <v>0.83199999999999996</v>
      </c>
      <c r="AV96">
        <v>0.88100000000000001</v>
      </c>
      <c r="AW96">
        <v>0.93300000000000005</v>
      </c>
    </row>
    <row r="97" spans="1:49" x14ac:dyDescent="0.35">
      <c r="A97" t="s">
        <v>136</v>
      </c>
      <c r="B97" t="s">
        <v>37</v>
      </c>
      <c r="C97" t="s">
        <v>43</v>
      </c>
      <c r="D97" t="s">
        <v>44</v>
      </c>
      <c r="E97" t="s">
        <v>32</v>
      </c>
      <c r="F97" t="s">
        <v>42</v>
      </c>
      <c r="G97">
        <v>0.246</v>
      </c>
      <c r="H97">
        <v>0.28399999999999997</v>
      </c>
      <c r="I97">
        <v>0.313</v>
      </c>
      <c r="J97">
        <v>0.33600000000000002</v>
      </c>
      <c r="K97">
        <v>0.36199999999999999</v>
      </c>
      <c r="L97">
        <v>0.38100000000000001</v>
      </c>
      <c r="M97">
        <v>0.39700000000000002</v>
      </c>
      <c r="N97">
        <v>0.41399999999999998</v>
      </c>
      <c r="O97">
        <v>0.44</v>
      </c>
      <c r="P97">
        <v>0.442</v>
      </c>
      <c r="Q97">
        <v>0.48199999999999998</v>
      </c>
      <c r="R97">
        <v>0.47099999999999997</v>
      </c>
      <c r="S97">
        <v>0.52300000000000002</v>
      </c>
      <c r="T97">
        <v>0.55100000000000005</v>
      </c>
      <c r="U97">
        <v>0.53300000000000003</v>
      </c>
      <c r="V97">
        <v>0.56399999999999995</v>
      </c>
      <c r="W97">
        <v>0.56699999999999995</v>
      </c>
      <c r="X97">
        <v>0.60099999999999998</v>
      </c>
      <c r="Y97">
        <v>0.61399999999999999</v>
      </c>
      <c r="Z97">
        <v>0.63600000000000001</v>
      </c>
      <c r="AA97">
        <v>0.65900000000000003</v>
      </c>
      <c r="AB97">
        <v>0.69699999999999995</v>
      </c>
      <c r="AC97">
        <v>0.73699999999999999</v>
      </c>
      <c r="AD97">
        <v>0.77</v>
      </c>
      <c r="AE97">
        <v>0.78900000000000003</v>
      </c>
      <c r="AF97">
        <v>0.84899999999999998</v>
      </c>
      <c r="AG97">
        <v>0.88600000000000001</v>
      </c>
      <c r="AH97">
        <v>0.91400000000000003</v>
      </c>
      <c r="AI97">
        <v>0.94099999999999995</v>
      </c>
      <c r="AJ97">
        <v>0.96599999999999997</v>
      </c>
      <c r="AK97">
        <v>0.997</v>
      </c>
      <c r="AL97">
        <v>1.0409999999999999</v>
      </c>
      <c r="AM97">
        <v>1.091</v>
      </c>
      <c r="AN97">
        <v>1.1479999999999999</v>
      </c>
      <c r="AO97">
        <v>1.1910000000000001</v>
      </c>
      <c r="AP97">
        <v>1.2170000000000001</v>
      </c>
      <c r="AQ97">
        <v>1.2589999999999999</v>
      </c>
      <c r="AR97">
        <v>1.323</v>
      </c>
      <c r="AS97">
        <v>1.403</v>
      </c>
      <c r="AT97">
        <v>1.49</v>
      </c>
      <c r="AU97">
        <v>1.5820000000000001</v>
      </c>
      <c r="AV97">
        <v>1.679</v>
      </c>
      <c r="AW97">
        <v>1.78</v>
      </c>
    </row>
    <row r="98" spans="1:49" x14ac:dyDescent="0.35">
      <c r="A98" t="s">
        <v>136</v>
      </c>
      <c r="B98" t="s">
        <v>45</v>
      </c>
      <c r="C98" t="s">
        <v>46</v>
      </c>
      <c r="D98" t="s">
        <v>47</v>
      </c>
      <c r="F98" t="s">
        <v>48</v>
      </c>
      <c r="G98">
        <v>43.218000000000004</v>
      </c>
      <c r="H98">
        <v>46.115000000000002</v>
      </c>
      <c r="I98">
        <v>50.872999999999998</v>
      </c>
      <c r="J98">
        <v>55.536999999999999</v>
      </c>
      <c r="K98">
        <v>58.926000000000002</v>
      </c>
      <c r="L98">
        <v>60.371000000000002</v>
      </c>
      <c r="M98">
        <v>61.85</v>
      </c>
      <c r="N98">
        <v>63.844000000000001</v>
      </c>
      <c r="O98">
        <v>65.081000000000003</v>
      </c>
      <c r="P98">
        <v>68.959999999999994</v>
      </c>
      <c r="Q98">
        <v>70.459999999999994</v>
      </c>
      <c r="R98">
        <v>80.161000000000001</v>
      </c>
      <c r="S98">
        <v>74.936999999999998</v>
      </c>
      <c r="T98">
        <v>77.001999999999995</v>
      </c>
      <c r="U98">
        <v>79.918000000000006</v>
      </c>
      <c r="V98">
        <v>86.567999999999998</v>
      </c>
      <c r="W98">
        <v>89.381</v>
      </c>
      <c r="X98">
        <v>90.036000000000001</v>
      </c>
      <c r="Y98">
        <v>91.376000000000005</v>
      </c>
      <c r="Z98">
        <v>96.686000000000007</v>
      </c>
      <c r="AA98">
        <v>100</v>
      </c>
      <c r="AB98">
        <v>108.631</v>
      </c>
      <c r="AC98">
        <v>113.161</v>
      </c>
      <c r="AD98">
        <v>118.961</v>
      </c>
      <c r="AE98">
        <v>121.06699999999999</v>
      </c>
      <c r="AF98">
        <v>123.851</v>
      </c>
      <c r="AG98">
        <v>126.328</v>
      </c>
      <c r="AH98">
        <v>132.876</v>
      </c>
      <c r="AI98">
        <v>140.19200000000001</v>
      </c>
      <c r="AJ98">
        <v>146.589</v>
      </c>
      <c r="AK98">
        <v>152.97</v>
      </c>
      <c r="AL98">
        <v>160.15700000000001</v>
      </c>
      <c r="AM98">
        <v>164.29900000000001</v>
      </c>
      <c r="AN98">
        <v>169.43899999999999</v>
      </c>
      <c r="AO98">
        <v>172.89599999999999</v>
      </c>
      <c r="AP98">
        <v>175.37200000000001</v>
      </c>
      <c r="AQ98">
        <v>180.19499999999999</v>
      </c>
      <c r="AR98">
        <v>184.02199999999999</v>
      </c>
      <c r="AS98">
        <v>188.10599999999999</v>
      </c>
      <c r="AT98">
        <v>192.24199999999999</v>
      </c>
      <c r="AU98">
        <v>196.64</v>
      </c>
      <c r="AV98">
        <v>201.096</v>
      </c>
      <c r="AW98">
        <v>205.64599999999999</v>
      </c>
    </row>
    <row r="99" spans="1:49" x14ac:dyDescent="0.35">
      <c r="A99" t="s">
        <v>136</v>
      </c>
      <c r="B99" t="s">
        <v>49</v>
      </c>
      <c r="C99" t="s">
        <v>50</v>
      </c>
      <c r="D99" t="s">
        <v>31</v>
      </c>
      <c r="E99" t="s">
        <v>26</v>
      </c>
      <c r="F99" t="s">
        <v>51</v>
      </c>
      <c r="G99" s="27">
        <v>210169.09</v>
      </c>
      <c r="H99" s="27">
        <v>216253.12</v>
      </c>
      <c r="I99" s="27">
        <v>219681.44</v>
      </c>
      <c r="J99" s="27">
        <v>221276.12</v>
      </c>
      <c r="K99" s="27">
        <v>228225</v>
      </c>
      <c r="L99" s="27">
        <v>225571.22</v>
      </c>
      <c r="M99" s="27">
        <v>222948.3</v>
      </c>
      <c r="N99" s="27">
        <v>219573.81</v>
      </c>
      <c r="O99" s="27">
        <v>218483.43</v>
      </c>
      <c r="P99" s="27">
        <v>204795.62</v>
      </c>
      <c r="Q99" s="27">
        <v>209307.3</v>
      </c>
      <c r="R99" s="27">
        <v>204567.01</v>
      </c>
      <c r="S99" s="27">
        <v>217281.72</v>
      </c>
      <c r="T99" s="27">
        <v>219145.28</v>
      </c>
      <c r="U99" s="27">
        <v>203252.4</v>
      </c>
      <c r="V99" s="27">
        <v>206198.06</v>
      </c>
      <c r="W99" s="27">
        <v>199191.42</v>
      </c>
      <c r="X99" s="27">
        <v>203259.46</v>
      </c>
      <c r="Y99" s="27">
        <v>201314.25</v>
      </c>
      <c r="Z99" s="27">
        <v>200908.99</v>
      </c>
      <c r="AA99" s="27">
        <v>199506.38</v>
      </c>
      <c r="AB99" s="27">
        <v>201849.44</v>
      </c>
      <c r="AC99" s="27">
        <v>205840.97</v>
      </c>
      <c r="AD99" s="27">
        <v>206534.56</v>
      </c>
      <c r="AE99" s="27">
        <v>200038.83</v>
      </c>
      <c r="AF99" s="27">
        <v>206011.84</v>
      </c>
      <c r="AG99" s="27">
        <v>204279.82</v>
      </c>
      <c r="AH99" s="27">
        <v>199304.98</v>
      </c>
      <c r="AI99" s="27">
        <v>195386.26</v>
      </c>
      <c r="AJ99" s="27">
        <v>193129.3</v>
      </c>
      <c r="AK99" s="27">
        <v>191350.32</v>
      </c>
      <c r="AL99" s="27">
        <v>189914.64</v>
      </c>
      <c r="AM99" s="27">
        <v>189842.34</v>
      </c>
      <c r="AN99" s="27">
        <v>190797.44</v>
      </c>
      <c r="AO99" s="27">
        <v>188853.26</v>
      </c>
      <c r="AP99" s="27">
        <v>185249.32</v>
      </c>
      <c r="AQ99" s="27">
        <v>183733.25</v>
      </c>
      <c r="AR99" s="27">
        <v>184273.24</v>
      </c>
      <c r="AS99" s="27">
        <v>186056.85</v>
      </c>
      <c r="AT99" s="27">
        <v>187863.23</v>
      </c>
      <c r="AU99" s="27">
        <v>189687.15</v>
      </c>
      <c r="AV99" s="27">
        <v>191528.77</v>
      </c>
      <c r="AW99" s="27">
        <v>193388.27</v>
      </c>
    </row>
    <row r="100" spans="1:49" x14ac:dyDescent="0.35">
      <c r="A100" t="s">
        <v>136</v>
      </c>
      <c r="B100" t="s">
        <v>49</v>
      </c>
      <c r="C100" t="s">
        <v>52</v>
      </c>
      <c r="D100" t="s">
        <v>53</v>
      </c>
      <c r="E100" t="s">
        <v>26</v>
      </c>
      <c r="F100" t="s">
        <v>51</v>
      </c>
      <c r="G100" s="27">
        <v>1621.51</v>
      </c>
      <c r="H100" s="27">
        <v>1668.45</v>
      </c>
      <c r="I100" s="27">
        <v>1694.9</v>
      </c>
      <c r="J100" s="27">
        <v>1707.2</v>
      </c>
      <c r="K100" s="27">
        <v>1760.81</v>
      </c>
      <c r="L100" s="27">
        <v>1740.34</v>
      </c>
      <c r="M100" s="27">
        <v>1720.1</v>
      </c>
      <c r="N100" s="27">
        <v>1694.07</v>
      </c>
      <c r="O100" s="27">
        <v>1685.65</v>
      </c>
      <c r="P100" s="27">
        <v>1580.05</v>
      </c>
      <c r="Q100" s="27">
        <v>1614.86</v>
      </c>
      <c r="R100" s="27">
        <v>1578.29</v>
      </c>
      <c r="S100" s="27">
        <v>1676.38</v>
      </c>
      <c r="T100" s="27">
        <v>1690.76</v>
      </c>
      <c r="U100" s="27">
        <v>1568.14</v>
      </c>
      <c r="V100" s="27">
        <v>1590.87</v>
      </c>
      <c r="W100" s="27">
        <v>1536.81</v>
      </c>
      <c r="X100" s="27">
        <v>1568.2</v>
      </c>
      <c r="Y100" s="27">
        <v>1553.19</v>
      </c>
      <c r="Z100" s="27">
        <v>1550.06</v>
      </c>
      <c r="AA100" s="27">
        <v>1539.24</v>
      </c>
      <c r="AB100" s="27">
        <v>1557.32</v>
      </c>
      <c r="AC100" s="27">
        <v>1588.12</v>
      </c>
      <c r="AD100" s="27">
        <v>1593.47</v>
      </c>
      <c r="AE100" s="27">
        <v>1543.35</v>
      </c>
      <c r="AF100" s="27">
        <v>1589.43</v>
      </c>
      <c r="AG100" s="27">
        <v>1576.07</v>
      </c>
      <c r="AH100" s="27">
        <v>1537.69</v>
      </c>
      <c r="AI100" s="27">
        <v>1507.45</v>
      </c>
      <c r="AJ100" s="27">
        <v>1490.04</v>
      </c>
      <c r="AK100" s="27">
        <v>1476.32</v>
      </c>
      <c r="AL100" s="27">
        <v>1465.24</v>
      </c>
      <c r="AM100" s="27">
        <v>1464.68</v>
      </c>
      <c r="AN100" s="27">
        <v>1472.05</v>
      </c>
      <c r="AO100" s="27">
        <v>1457.05</v>
      </c>
      <c r="AP100" s="27">
        <v>1429.25</v>
      </c>
      <c r="AQ100" s="27">
        <v>1417.55</v>
      </c>
      <c r="AR100" s="27">
        <v>1421.71</v>
      </c>
      <c r="AS100" s="27">
        <v>1435.48</v>
      </c>
      <c r="AT100" s="27">
        <v>1449.41</v>
      </c>
      <c r="AU100" s="27">
        <v>1463.48</v>
      </c>
      <c r="AV100" s="27">
        <v>1477.69</v>
      </c>
      <c r="AW100" s="27">
        <v>1492.04</v>
      </c>
    </row>
    <row r="101" spans="1:49" x14ac:dyDescent="0.35">
      <c r="A101" t="s">
        <v>136</v>
      </c>
      <c r="B101" t="s">
        <v>54</v>
      </c>
      <c r="C101" t="s">
        <v>55</v>
      </c>
      <c r="D101" t="s">
        <v>31</v>
      </c>
      <c r="E101" t="s">
        <v>26</v>
      </c>
      <c r="F101" t="s">
        <v>56</v>
      </c>
      <c r="G101" s="27">
        <v>90831.4</v>
      </c>
      <c r="H101" s="27">
        <v>99725.82</v>
      </c>
      <c r="I101" s="27">
        <v>111758.11</v>
      </c>
      <c r="J101" s="27">
        <v>122890.83</v>
      </c>
      <c r="K101" s="27">
        <v>134484.85999999999</v>
      </c>
      <c r="L101" s="27">
        <v>136178.95000000001</v>
      </c>
      <c r="M101" s="27">
        <v>137894.39000000001</v>
      </c>
      <c r="N101" s="27">
        <v>140184.35</v>
      </c>
      <c r="O101" s="27">
        <v>142190.51999999999</v>
      </c>
      <c r="P101" s="27">
        <v>141227.45000000001</v>
      </c>
      <c r="Q101" s="27">
        <v>147478.34</v>
      </c>
      <c r="R101" s="27">
        <v>163983.67999999999</v>
      </c>
      <c r="S101" s="27">
        <v>162824.03</v>
      </c>
      <c r="T101" s="27">
        <v>168745.87</v>
      </c>
      <c r="U101" s="27">
        <v>162435.22</v>
      </c>
      <c r="V101" s="27">
        <v>178501.02</v>
      </c>
      <c r="W101" s="27">
        <v>178039.78</v>
      </c>
      <c r="X101" s="27">
        <v>183006.29</v>
      </c>
      <c r="Y101" s="27">
        <v>183953.27</v>
      </c>
      <c r="Z101" s="27">
        <v>194251.63</v>
      </c>
      <c r="AA101" s="27">
        <v>199506.38</v>
      </c>
      <c r="AB101" s="27">
        <v>219270.3</v>
      </c>
      <c r="AC101" s="27">
        <v>232932.19</v>
      </c>
      <c r="AD101" s="27">
        <v>245695.59</v>
      </c>
      <c r="AE101" s="27">
        <v>242180.44</v>
      </c>
      <c r="AF101" s="27">
        <v>255148.25</v>
      </c>
      <c r="AG101" s="27">
        <v>258063.19</v>
      </c>
      <c r="AH101" s="27">
        <v>264828.37</v>
      </c>
      <c r="AI101" s="27">
        <v>273915</v>
      </c>
      <c r="AJ101" s="27">
        <v>283106.90999999997</v>
      </c>
      <c r="AK101" s="27">
        <v>292707.71000000002</v>
      </c>
      <c r="AL101" s="27">
        <v>304160.89</v>
      </c>
      <c r="AM101" s="27">
        <v>311909.06</v>
      </c>
      <c r="AN101" s="27">
        <v>323284.37</v>
      </c>
      <c r="AO101" s="27">
        <v>326518.96000000002</v>
      </c>
      <c r="AP101" s="27">
        <v>324874.55</v>
      </c>
      <c r="AQ101" s="27">
        <v>331078.28999999998</v>
      </c>
      <c r="AR101" s="27">
        <v>339103</v>
      </c>
      <c r="AS101" s="27">
        <v>349984.81</v>
      </c>
      <c r="AT101" s="27">
        <v>361151.6</v>
      </c>
      <c r="AU101" s="27">
        <v>373000.22</v>
      </c>
      <c r="AV101" s="27">
        <v>385156.09</v>
      </c>
      <c r="AW101" s="27">
        <v>397694.91</v>
      </c>
    </row>
    <row r="102" spans="1:49" x14ac:dyDescent="0.35">
      <c r="A102" t="s">
        <v>136</v>
      </c>
      <c r="B102" t="s">
        <v>54</v>
      </c>
      <c r="C102" t="s">
        <v>57</v>
      </c>
      <c r="D102" t="s">
        <v>41</v>
      </c>
      <c r="E102" t="s">
        <v>26</v>
      </c>
      <c r="F102" t="s">
        <v>56</v>
      </c>
      <c r="G102">
        <v>429.86900000000003</v>
      </c>
      <c r="H102">
        <v>367.04399999999998</v>
      </c>
      <c r="I102">
        <v>340.10399999999998</v>
      </c>
      <c r="J102">
        <v>322.46300000000002</v>
      </c>
      <c r="K102">
        <v>307.77699999999999</v>
      </c>
      <c r="L102">
        <v>303.11799999999999</v>
      </c>
      <c r="M102">
        <v>398.18799999999999</v>
      </c>
      <c r="N102">
        <v>466.44900000000001</v>
      </c>
      <c r="O102">
        <v>477.39800000000002</v>
      </c>
      <c r="P102">
        <v>442.71199999999999</v>
      </c>
      <c r="Q102">
        <v>541.68200000000002</v>
      </c>
      <c r="R102">
        <v>581.28599999999994</v>
      </c>
      <c r="S102">
        <v>615.15</v>
      </c>
      <c r="T102">
        <v>596.505</v>
      </c>
      <c r="U102">
        <v>390.79500000000002</v>
      </c>
      <c r="V102">
        <v>477.12200000000001</v>
      </c>
      <c r="W102">
        <v>464.05200000000002</v>
      </c>
      <c r="X102">
        <v>418.50599999999997</v>
      </c>
      <c r="Y102">
        <v>416.24700000000001</v>
      </c>
      <c r="Z102">
        <v>421.22800000000001</v>
      </c>
      <c r="AA102">
        <v>374.71600000000001</v>
      </c>
      <c r="AB102">
        <v>399.18</v>
      </c>
      <c r="AC102">
        <v>447.154</v>
      </c>
      <c r="AD102">
        <v>564.75099999999998</v>
      </c>
      <c r="AE102">
        <v>612.04</v>
      </c>
      <c r="AF102">
        <v>646.08299999999997</v>
      </c>
      <c r="AG102">
        <v>658.654</v>
      </c>
      <c r="AH102">
        <v>737.81899999999996</v>
      </c>
      <c r="AI102">
        <v>819.41200000000003</v>
      </c>
      <c r="AJ102">
        <v>801.49599999999998</v>
      </c>
      <c r="AK102">
        <v>789.46600000000001</v>
      </c>
      <c r="AL102">
        <v>860.24300000000005</v>
      </c>
      <c r="AM102">
        <v>815.05799999999999</v>
      </c>
      <c r="AN102">
        <v>872.76499999999999</v>
      </c>
      <c r="AO102">
        <v>881.952</v>
      </c>
      <c r="AP102">
        <v>732.74900000000002</v>
      </c>
      <c r="AQ102">
        <v>744.78099999999995</v>
      </c>
      <c r="AR102">
        <v>777.46799999999996</v>
      </c>
      <c r="AS102">
        <v>836.88599999999997</v>
      </c>
      <c r="AT102">
        <v>867.52800000000002</v>
      </c>
      <c r="AU102">
        <v>897.41499999999996</v>
      </c>
      <c r="AV102">
        <v>923.43100000000004</v>
      </c>
      <c r="AW102">
        <v>949.41499999999996</v>
      </c>
    </row>
    <row r="103" spans="1:49" x14ac:dyDescent="0.35">
      <c r="A103" t="s">
        <v>136</v>
      </c>
      <c r="B103" t="s">
        <v>54</v>
      </c>
      <c r="C103" t="s">
        <v>58</v>
      </c>
      <c r="D103" t="s">
        <v>44</v>
      </c>
      <c r="E103" t="s">
        <v>26</v>
      </c>
      <c r="F103" t="s">
        <v>56</v>
      </c>
      <c r="G103">
        <v>696.50900000000001</v>
      </c>
      <c r="H103">
        <v>783.58900000000006</v>
      </c>
      <c r="I103">
        <v>845.4</v>
      </c>
      <c r="J103">
        <v>885.15099999999995</v>
      </c>
      <c r="K103">
        <v>945.34799999999996</v>
      </c>
      <c r="L103">
        <v>964.25599999999997</v>
      </c>
      <c r="M103">
        <v>972.25800000000004</v>
      </c>
      <c r="N103">
        <v>981.98099999999999</v>
      </c>
      <c r="O103" s="27">
        <v>1011.31</v>
      </c>
      <c r="P103">
        <v>984.81299999999999</v>
      </c>
      <c r="Q103" s="27">
        <v>1043.74</v>
      </c>
      <c r="R103" s="27">
        <v>1054.05</v>
      </c>
      <c r="S103" s="27">
        <v>1145.0899999999999</v>
      </c>
      <c r="T103" s="27">
        <v>1182.3900000000001</v>
      </c>
      <c r="U103" s="27">
        <v>1119.98</v>
      </c>
      <c r="V103" s="27">
        <v>1159.9000000000001</v>
      </c>
      <c r="W103" s="27">
        <v>1140.94</v>
      </c>
      <c r="X103" s="27">
        <v>1184.18</v>
      </c>
      <c r="Y103" s="27">
        <v>1185.57</v>
      </c>
      <c r="Z103" s="27">
        <v>1201.29</v>
      </c>
      <c r="AA103" s="27">
        <v>1220.05</v>
      </c>
      <c r="AB103" s="27">
        <v>1262.51</v>
      </c>
      <c r="AC103" s="27">
        <v>1307.24</v>
      </c>
      <c r="AD103" s="27">
        <v>1337.8</v>
      </c>
      <c r="AE103" s="27">
        <v>1331.35</v>
      </c>
      <c r="AF103" s="27">
        <v>1415.22</v>
      </c>
      <c r="AG103" s="27">
        <v>1446.44</v>
      </c>
      <c r="AH103" s="27">
        <v>1448.77</v>
      </c>
      <c r="AI103" s="27">
        <v>1448.14</v>
      </c>
      <c r="AJ103" s="27">
        <v>1442.28</v>
      </c>
      <c r="AK103" s="27">
        <v>1446.46</v>
      </c>
      <c r="AL103" s="27">
        <v>1465.24</v>
      </c>
      <c r="AM103" s="27">
        <v>1491.66</v>
      </c>
      <c r="AN103" s="27">
        <v>1523.38</v>
      </c>
      <c r="AO103" s="27">
        <v>1534.92</v>
      </c>
      <c r="AP103" s="27">
        <v>1521.95</v>
      </c>
      <c r="AQ103" s="27">
        <v>1528.76</v>
      </c>
      <c r="AR103" s="27">
        <v>1559.96</v>
      </c>
      <c r="AS103" s="27">
        <v>1605.63</v>
      </c>
      <c r="AT103" s="27">
        <v>1655.81</v>
      </c>
      <c r="AU103" s="27">
        <v>1707.06</v>
      </c>
      <c r="AV103" s="27">
        <v>1759.43</v>
      </c>
      <c r="AW103" s="27">
        <v>1810.69</v>
      </c>
    </row>
    <row r="104" spans="1:49" x14ac:dyDescent="0.35">
      <c r="A104" t="s">
        <v>136</v>
      </c>
      <c r="B104" t="s">
        <v>59</v>
      </c>
      <c r="C104" t="s">
        <v>60</v>
      </c>
      <c r="D104" t="s">
        <v>61</v>
      </c>
    </row>
    <row r="105" spans="1:49" x14ac:dyDescent="0.35">
      <c r="A105" t="s">
        <v>136</v>
      </c>
      <c r="B105" t="s">
        <v>62</v>
      </c>
      <c r="C105" t="s">
        <v>63</v>
      </c>
      <c r="D105" t="s">
        <v>64</v>
      </c>
      <c r="F105" t="s">
        <v>42</v>
      </c>
      <c r="G105">
        <v>2E-3</v>
      </c>
      <c r="H105">
        <v>2E-3</v>
      </c>
      <c r="I105">
        <v>2E-3</v>
      </c>
      <c r="J105">
        <v>2E-3</v>
      </c>
      <c r="K105">
        <v>2E-3</v>
      </c>
      <c r="L105">
        <v>2E-3</v>
      </c>
      <c r="M105">
        <v>2E-3</v>
      </c>
      <c r="N105">
        <v>2E-3</v>
      </c>
      <c r="O105">
        <v>2E-3</v>
      </c>
      <c r="P105">
        <v>2E-3</v>
      </c>
      <c r="Q105">
        <v>2E-3</v>
      </c>
      <c r="R105">
        <v>2E-3</v>
      </c>
      <c r="S105">
        <v>2E-3</v>
      </c>
      <c r="T105">
        <v>2E-3</v>
      </c>
      <c r="U105">
        <v>1E-3</v>
      </c>
      <c r="V105">
        <v>1E-3</v>
      </c>
      <c r="W105">
        <v>1E-3</v>
      </c>
      <c r="X105">
        <v>1E-3</v>
      </c>
      <c r="Y105">
        <v>1E-3</v>
      </c>
      <c r="Z105">
        <v>1E-3</v>
      </c>
      <c r="AA105">
        <v>1E-3</v>
      </c>
      <c r="AB105">
        <v>1E-3</v>
      </c>
      <c r="AC105">
        <v>1E-3</v>
      </c>
      <c r="AD105">
        <v>1E-3</v>
      </c>
      <c r="AE105">
        <v>1E-3</v>
      </c>
      <c r="AF105">
        <v>1E-3</v>
      </c>
      <c r="AG105">
        <v>1E-3</v>
      </c>
      <c r="AH105">
        <v>1E-3</v>
      </c>
      <c r="AI105">
        <v>1E-3</v>
      </c>
      <c r="AJ105">
        <v>1E-3</v>
      </c>
      <c r="AK105">
        <v>1E-3</v>
      </c>
      <c r="AL105">
        <v>1E-3</v>
      </c>
      <c r="AM105">
        <v>1E-3</v>
      </c>
      <c r="AN105">
        <v>1E-3</v>
      </c>
      <c r="AO105">
        <v>1E-3</v>
      </c>
      <c r="AP105">
        <v>1E-3</v>
      </c>
      <c r="AQ105">
        <v>1E-3</v>
      </c>
      <c r="AR105">
        <v>1E-3</v>
      </c>
      <c r="AS105">
        <v>1E-3</v>
      </c>
      <c r="AT105">
        <v>1E-3</v>
      </c>
      <c r="AU105">
        <v>1E-3</v>
      </c>
      <c r="AV105">
        <v>1E-3</v>
      </c>
      <c r="AW105">
        <v>1E-3</v>
      </c>
    </row>
    <row r="106" spans="1:49" x14ac:dyDescent="0.35">
      <c r="A106" t="s">
        <v>136</v>
      </c>
      <c r="B106" t="s">
        <v>65</v>
      </c>
      <c r="C106" t="s">
        <v>66</v>
      </c>
      <c r="D106" t="s">
        <v>67</v>
      </c>
      <c r="F106" t="s">
        <v>42</v>
      </c>
      <c r="G106">
        <v>130.40899999999999</v>
      </c>
      <c r="H106">
        <v>127.268</v>
      </c>
      <c r="I106">
        <v>132.19499999999999</v>
      </c>
      <c r="J106">
        <v>138.83600000000001</v>
      </c>
      <c r="K106">
        <v>142.26</v>
      </c>
      <c r="L106">
        <v>141.227</v>
      </c>
      <c r="M106">
        <v>141.82900000000001</v>
      </c>
      <c r="N106">
        <v>142.75700000000001</v>
      </c>
      <c r="O106">
        <v>140.6</v>
      </c>
      <c r="P106">
        <v>143.405</v>
      </c>
      <c r="Q106">
        <v>141.298</v>
      </c>
      <c r="R106">
        <v>155.57499999999999</v>
      </c>
      <c r="S106">
        <v>142.19300000000001</v>
      </c>
      <c r="T106">
        <v>142.71700000000001</v>
      </c>
      <c r="U106">
        <v>145.03399999999999</v>
      </c>
      <c r="V106">
        <v>153.893</v>
      </c>
      <c r="W106">
        <v>156.047</v>
      </c>
      <c r="X106">
        <v>154.54300000000001</v>
      </c>
      <c r="Y106">
        <v>155.16</v>
      </c>
      <c r="Z106">
        <v>161.703</v>
      </c>
      <c r="AA106">
        <v>163.524</v>
      </c>
      <c r="AB106">
        <v>173.679</v>
      </c>
      <c r="AC106">
        <v>178.18700000000001</v>
      </c>
      <c r="AD106">
        <v>183.65700000000001</v>
      </c>
      <c r="AE106">
        <v>181.90600000000001</v>
      </c>
      <c r="AF106">
        <v>180.28899999999999</v>
      </c>
      <c r="AG106">
        <v>178.41300000000001</v>
      </c>
      <c r="AH106">
        <v>182.79599999999999</v>
      </c>
      <c r="AI106">
        <v>189.149</v>
      </c>
      <c r="AJ106">
        <v>196.291</v>
      </c>
      <c r="AK106">
        <v>202.36199999999999</v>
      </c>
      <c r="AL106">
        <v>207.584</v>
      </c>
      <c r="AM106">
        <v>209.102</v>
      </c>
      <c r="AN106">
        <v>212.21600000000001</v>
      </c>
      <c r="AO106">
        <v>212.727</v>
      </c>
      <c r="AP106">
        <v>213.459</v>
      </c>
      <c r="AQ106">
        <v>216.56700000000001</v>
      </c>
      <c r="AR106">
        <v>217.38</v>
      </c>
      <c r="AS106">
        <v>217.97399999999999</v>
      </c>
      <c r="AT106">
        <v>218.11099999999999</v>
      </c>
      <c r="AU106">
        <v>218.505</v>
      </c>
      <c r="AV106">
        <v>218.91</v>
      </c>
      <c r="AW106">
        <v>219.637</v>
      </c>
    </row>
    <row r="107" spans="1:49" x14ac:dyDescent="0.35">
      <c r="A107" t="s">
        <v>136</v>
      </c>
      <c r="B107" t="s">
        <v>68</v>
      </c>
      <c r="C107" t="s">
        <v>69</v>
      </c>
      <c r="D107" t="s">
        <v>70</v>
      </c>
      <c r="F107" t="s">
        <v>137</v>
      </c>
      <c r="G107">
        <v>22.318000000000001</v>
      </c>
      <c r="H107">
        <v>22.318000000000001</v>
      </c>
      <c r="I107">
        <v>22.318000000000001</v>
      </c>
      <c r="J107">
        <v>22.318000000000001</v>
      </c>
      <c r="K107">
        <v>13.585000000000001</v>
      </c>
      <c r="L107">
        <v>12.257</v>
      </c>
      <c r="M107">
        <v>11.551</v>
      </c>
      <c r="N107">
        <v>9.8680000000000003</v>
      </c>
      <c r="O107">
        <v>11.614000000000001</v>
      </c>
      <c r="P107">
        <v>11.708</v>
      </c>
      <c r="Q107">
        <v>11.936999999999999</v>
      </c>
      <c r="R107">
        <v>11.218999999999999</v>
      </c>
      <c r="S107">
        <v>17.434000000000001</v>
      </c>
      <c r="T107">
        <v>14.853</v>
      </c>
      <c r="U107">
        <v>19.521000000000001</v>
      </c>
      <c r="V107">
        <v>15.528</v>
      </c>
      <c r="W107">
        <v>7.85</v>
      </c>
      <c r="X107">
        <v>10.894</v>
      </c>
      <c r="Y107">
        <v>11.526</v>
      </c>
      <c r="Z107">
        <v>8.8879999999999999</v>
      </c>
      <c r="AA107">
        <v>10.093</v>
      </c>
      <c r="AB107">
        <v>10.053000000000001</v>
      </c>
      <c r="AC107">
        <v>11.010999999999999</v>
      </c>
      <c r="AD107">
        <v>10.305</v>
      </c>
      <c r="AE107">
        <v>9.3580000000000005</v>
      </c>
      <c r="AF107">
        <v>9.3089999999999993</v>
      </c>
      <c r="AG107">
        <v>9.6270000000000007</v>
      </c>
      <c r="AH107">
        <v>11.170999999999999</v>
      </c>
      <c r="AI107">
        <v>14.282</v>
      </c>
      <c r="AJ107">
        <v>12.401</v>
      </c>
      <c r="AK107">
        <v>15.403</v>
      </c>
      <c r="AL107">
        <v>14.898999999999999</v>
      </c>
      <c r="AM107">
        <v>16.82</v>
      </c>
      <c r="AN107">
        <v>20.358000000000001</v>
      </c>
      <c r="AO107">
        <v>18.591000000000001</v>
      </c>
      <c r="AP107">
        <v>18.503</v>
      </c>
      <c r="AQ107">
        <v>21.065000000000001</v>
      </c>
      <c r="AR107">
        <v>21.664999999999999</v>
      </c>
      <c r="AS107">
        <v>21.704999999999998</v>
      </c>
      <c r="AT107">
        <v>21.85</v>
      </c>
      <c r="AU107">
        <v>23.620999999999999</v>
      </c>
      <c r="AV107">
        <v>23.626000000000001</v>
      </c>
      <c r="AW107">
        <v>23.626999999999999</v>
      </c>
    </row>
    <row r="108" spans="1:49" x14ac:dyDescent="0.35">
      <c r="A108" t="s">
        <v>136</v>
      </c>
      <c r="B108" t="s">
        <v>71</v>
      </c>
      <c r="C108" t="s">
        <v>72</v>
      </c>
      <c r="D108" t="s">
        <v>70</v>
      </c>
      <c r="F108" t="s">
        <v>137</v>
      </c>
      <c r="G108">
        <v>13.164</v>
      </c>
      <c r="H108">
        <v>26.733000000000001</v>
      </c>
      <c r="I108">
        <v>11.798</v>
      </c>
      <c r="J108">
        <v>24.024000000000001</v>
      </c>
      <c r="K108">
        <v>14.114000000000001</v>
      </c>
      <c r="L108">
        <v>13.842000000000001</v>
      </c>
      <c r="M108">
        <v>11.795</v>
      </c>
      <c r="N108">
        <v>15.432</v>
      </c>
      <c r="O108">
        <v>14.044</v>
      </c>
      <c r="P108">
        <v>13.204000000000001</v>
      </c>
      <c r="Q108">
        <v>18.315999999999999</v>
      </c>
      <c r="R108">
        <v>11.433</v>
      </c>
      <c r="S108">
        <v>18.536999999999999</v>
      </c>
      <c r="T108">
        <v>17.381</v>
      </c>
      <c r="U108">
        <v>19.507999999999999</v>
      </c>
      <c r="V108">
        <v>6.6479999999999997</v>
      </c>
      <c r="W108">
        <v>4.8970000000000002</v>
      </c>
      <c r="X108">
        <v>-2.395</v>
      </c>
      <c r="Y108">
        <v>9.5069999999999997</v>
      </c>
      <c r="Z108">
        <v>8.6059999999999999</v>
      </c>
      <c r="AA108">
        <v>9.8610000000000007</v>
      </c>
      <c r="AB108">
        <v>13.177</v>
      </c>
      <c r="AC108">
        <v>11.666</v>
      </c>
      <c r="AD108">
        <v>8.8989999999999991</v>
      </c>
      <c r="AE108">
        <v>5.1779999999999999</v>
      </c>
      <c r="AF108">
        <v>2.8809999999999998</v>
      </c>
      <c r="AG108">
        <v>4.0839999999999996</v>
      </c>
      <c r="AH108">
        <v>6.22</v>
      </c>
      <c r="AI108">
        <v>3.859</v>
      </c>
      <c r="AJ108">
        <v>5.5110000000000001</v>
      </c>
      <c r="AK108">
        <v>15.22</v>
      </c>
      <c r="AL108">
        <v>10.026</v>
      </c>
      <c r="AM108">
        <v>9.5459999999999994</v>
      </c>
      <c r="AN108">
        <v>12.105</v>
      </c>
      <c r="AO108">
        <v>10.64</v>
      </c>
      <c r="AP108">
        <v>18.946000000000002</v>
      </c>
      <c r="AQ108">
        <v>10.920999999999999</v>
      </c>
      <c r="AR108">
        <v>12.185</v>
      </c>
      <c r="AS108">
        <v>10.384</v>
      </c>
      <c r="AT108">
        <v>9.5250000000000004</v>
      </c>
      <c r="AU108">
        <v>10.891999999999999</v>
      </c>
      <c r="AV108">
        <v>10.724</v>
      </c>
      <c r="AW108">
        <v>10.526999999999999</v>
      </c>
    </row>
    <row r="109" spans="1:49" x14ac:dyDescent="0.35">
      <c r="A109" t="s">
        <v>136</v>
      </c>
      <c r="B109" t="s">
        <v>73</v>
      </c>
      <c r="C109" t="s">
        <v>74</v>
      </c>
      <c r="D109" t="s">
        <v>47</v>
      </c>
      <c r="F109" t="s">
        <v>138</v>
      </c>
      <c r="G109">
        <v>49.061</v>
      </c>
      <c r="H109">
        <v>52.25</v>
      </c>
      <c r="I109">
        <v>60.197000000000003</v>
      </c>
      <c r="J109">
        <v>65.742000000000004</v>
      </c>
      <c r="K109">
        <v>69.721999999999994</v>
      </c>
      <c r="L109">
        <v>75.566000000000003</v>
      </c>
      <c r="M109">
        <v>67.036000000000001</v>
      </c>
      <c r="N109">
        <v>69.248000000000005</v>
      </c>
      <c r="O109">
        <v>69.448999999999998</v>
      </c>
      <c r="P109">
        <v>72.531999999999996</v>
      </c>
      <c r="Q109">
        <v>67.171999999999997</v>
      </c>
      <c r="R109">
        <v>68.313999999999993</v>
      </c>
      <c r="S109">
        <v>67.356999999999999</v>
      </c>
      <c r="T109">
        <v>68.704999999999998</v>
      </c>
      <c r="U109">
        <v>86.087000000000003</v>
      </c>
      <c r="V109">
        <v>88.799000000000007</v>
      </c>
      <c r="W109">
        <v>90.93</v>
      </c>
      <c r="X109">
        <v>92.293999999999997</v>
      </c>
      <c r="Y109">
        <v>93.400999999999996</v>
      </c>
      <c r="Z109">
        <v>94.429000000000002</v>
      </c>
      <c r="AA109">
        <v>100</v>
      </c>
      <c r="AB109">
        <v>105.571</v>
      </c>
      <c r="AC109">
        <v>109.348</v>
      </c>
      <c r="AD109">
        <v>113.40900000000001</v>
      </c>
      <c r="AE109">
        <v>118.508</v>
      </c>
      <c r="AF109">
        <v>122.071</v>
      </c>
      <c r="AG109">
        <v>126.209</v>
      </c>
      <c r="AH109">
        <v>131.87</v>
      </c>
      <c r="AI109">
        <v>138.221</v>
      </c>
      <c r="AJ109">
        <v>144.84</v>
      </c>
      <c r="AK109">
        <v>150.48699999999999</v>
      </c>
      <c r="AL109">
        <v>153.846</v>
      </c>
      <c r="AM109">
        <v>162.93700000000001</v>
      </c>
      <c r="AN109">
        <v>165.49600000000001</v>
      </c>
      <c r="AO109">
        <v>167.727</v>
      </c>
      <c r="AP109">
        <v>171.08099999999999</v>
      </c>
      <c r="AQ109">
        <v>174.161</v>
      </c>
      <c r="AR109">
        <v>177.64400000000001</v>
      </c>
      <c r="AS109">
        <v>181.197</v>
      </c>
      <c r="AT109">
        <v>184.821</v>
      </c>
      <c r="AU109">
        <v>188.517</v>
      </c>
      <c r="AV109">
        <v>192.28700000000001</v>
      </c>
      <c r="AW109">
        <v>196.13300000000001</v>
      </c>
    </row>
    <row r="110" spans="1:49" x14ac:dyDescent="0.35">
      <c r="A110" t="s">
        <v>136</v>
      </c>
      <c r="B110" t="s">
        <v>73</v>
      </c>
      <c r="C110" t="s">
        <v>76</v>
      </c>
      <c r="D110" t="s">
        <v>35</v>
      </c>
      <c r="F110" t="s">
        <v>77</v>
      </c>
      <c r="G110">
        <v>13.329000000000001</v>
      </c>
      <c r="H110">
        <v>6.5</v>
      </c>
      <c r="I110">
        <v>15.211</v>
      </c>
      <c r="J110">
        <v>9.2100000000000009</v>
      </c>
      <c r="K110">
        <v>6.0549999999999997</v>
      </c>
      <c r="L110">
        <v>8.3819999999999997</v>
      </c>
      <c r="M110">
        <v>-11.289</v>
      </c>
      <c r="N110">
        <v>3.3</v>
      </c>
      <c r="O110">
        <v>0.28999999999999998</v>
      </c>
      <c r="P110">
        <v>4.4400000000000004</v>
      </c>
      <c r="Q110">
        <v>-7.39</v>
      </c>
      <c r="R110">
        <v>1.7</v>
      </c>
      <c r="S110">
        <v>-1.4</v>
      </c>
      <c r="T110">
        <v>2</v>
      </c>
      <c r="U110">
        <v>25.3</v>
      </c>
      <c r="V110">
        <v>3.15</v>
      </c>
      <c r="W110">
        <v>2.4</v>
      </c>
      <c r="X110">
        <v>1.5</v>
      </c>
      <c r="Y110">
        <v>1.2</v>
      </c>
      <c r="Z110">
        <v>1.1000000000000001</v>
      </c>
      <c r="AA110">
        <v>5.9</v>
      </c>
      <c r="AB110">
        <v>5.5709999999999997</v>
      </c>
      <c r="AC110">
        <v>3.5779999999999998</v>
      </c>
      <c r="AD110">
        <v>3.7130000000000001</v>
      </c>
      <c r="AE110">
        <v>4.4960000000000004</v>
      </c>
      <c r="AF110">
        <v>3.0070000000000001</v>
      </c>
      <c r="AG110">
        <v>3.3889999999999998</v>
      </c>
      <c r="AH110">
        <v>4.4859999999999998</v>
      </c>
      <c r="AI110">
        <v>4.8159999999999998</v>
      </c>
      <c r="AJ110">
        <v>4.7889999999999997</v>
      </c>
      <c r="AK110">
        <v>3.899</v>
      </c>
      <c r="AL110">
        <v>2.2309999999999999</v>
      </c>
      <c r="AM110">
        <v>5.91</v>
      </c>
      <c r="AN110">
        <v>1.571</v>
      </c>
      <c r="AO110">
        <v>1.3480000000000001</v>
      </c>
      <c r="AP110">
        <v>2</v>
      </c>
      <c r="AQ110">
        <v>1.8</v>
      </c>
      <c r="AR110">
        <v>2</v>
      </c>
      <c r="AS110">
        <v>2</v>
      </c>
      <c r="AT110">
        <v>2</v>
      </c>
      <c r="AU110">
        <v>2</v>
      </c>
      <c r="AV110">
        <v>2</v>
      </c>
      <c r="AW110">
        <v>2</v>
      </c>
    </row>
    <row r="111" spans="1:49" x14ac:dyDescent="0.35">
      <c r="A111" t="s">
        <v>136</v>
      </c>
      <c r="B111" t="s">
        <v>78</v>
      </c>
      <c r="C111" t="s">
        <v>79</v>
      </c>
      <c r="D111" t="s">
        <v>47</v>
      </c>
      <c r="F111" t="s">
        <v>138</v>
      </c>
      <c r="G111" t="s">
        <v>82</v>
      </c>
      <c r="H111" t="s">
        <v>82</v>
      </c>
      <c r="I111" t="s">
        <v>82</v>
      </c>
      <c r="J111" t="s">
        <v>82</v>
      </c>
      <c r="K111" t="s">
        <v>82</v>
      </c>
      <c r="L111" t="s">
        <v>82</v>
      </c>
      <c r="M111" t="s">
        <v>82</v>
      </c>
      <c r="N111" t="s">
        <v>82</v>
      </c>
      <c r="O111" t="s">
        <v>82</v>
      </c>
      <c r="P111" t="s">
        <v>82</v>
      </c>
      <c r="Q111" t="s">
        <v>82</v>
      </c>
      <c r="R111" t="s">
        <v>82</v>
      </c>
      <c r="S111" t="s">
        <v>82</v>
      </c>
      <c r="T111" t="s">
        <v>82</v>
      </c>
      <c r="U111">
        <v>101.13800000000001</v>
      </c>
      <c r="V111">
        <v>94.025999999999996</v>
      </c>
      <c r="W111">
        <v>94.025999999999996</v>
      </c>
      <c r="X111">
        <v>95.447999999999993</v>
      </c>
      <c r="Y111">
        <v>99.501999999999995</v>
      </c>
      <c r="Z111">
        <v>98.221999999999994</v>
      </c>
      <c r="AA111">
        <v>101.511</v>
      </c>
      <c r="AB111">
        <v>111.048</v>
      </c>
      <c r="AC111">
        <v>110.009</v>
      </c>
      <c r="AD111">
        <v>115.10899999999999</v>
      </c>
      <c r="AE111">
        <v>118.886</v>
      </c>
      <c r="AF111">
        <v>127.441</v>
      </c>
      <c r="AG111">
        <v>129.64699999999999</v>
      </c>
      <c r="AH111">
        <v>132.499</v>
      </c>
      <c r="AI111">
        <v>142.304</v>
      </c>
      <c r="AJ111">
        <v>145.40199999999999</v>
      </c>
      <c r="AK111">
        <v>155.12299999999999</v>
      </c>
      <c r="AL111">
        <v>162.655</v>
      </c>
      <c r="AM111">
        <v>164.256</v>
      </c>
      <c r="AN111">
        <v>169.965</v>
      </c>
      <c r="AO111">
        <v>169.965</v>
      </c>
      <c r="AP111">
        <v>173.42599999999999</v>
      </c>
      <c r="AQ111">
        <v>174.81399999999999</v>
      </c>
      <c r="AR111">
        <v>178.19800000000001</v>
      </c>
      <c r="AS111">
        <v>181.87899999999999</v>
      </c>
      <c r="AT111">
        <v>184.47300000000001</v>
      </c>
      <c r="AU111">
        <v>187.35300000000001</v>
      </c>
      <c r="AV111">
        <v>190.64500000000001</v>
      </c>
      <c r="AW111">
        <v>194.30699999999999</v>
      </c>
    </row>
    <row r="112" spans="1:49" x14ac:dyDescent="0.35">
      <c r="A112" t="s">
        <v>136</v>
      </c>
      <c r="B112" t="s">
        <v>78</v>
      </c>
      <c r="C112" t="s">
        <v>80</v>
      </c>
      <c r="D112" t="s">
        <v>35</v>
      </c>
      <c r="F112" t="s">
        <v>81</v>
      </c>
      <c r="G112" t="s">
        <v>82</v>
      </c>
      <c r="H112" t="s">
        <v>82</v>
      </c>
      <c r="I112" t="s">
        <v>82</v>
      </c>
      <c r="J112" t="s">
        <v>82</v>
      </c>
      <c r="K112" t="s">
        <v>82</v>
      </c>
      <c r="L112" t="s">
        <v>82</v>
      </c>
      <c r="M112" t="s">
        <v>82</v>
      </c>
      <c r="N112" t="s">
        <v>82</v>
      </c>
      <c r="O112" t="s">
        <v>82</v>
      </c>
      <c r="P112" t="s">
        <v>82</v>
      </c>
      <c r="Q112" t="s">
        <v>82</v>
      </c>
      <c r="R112" t="s">
        <v>82</v>
      </c>
      <c r="S112" t="s">
        <v>82</v>
      </c>
      <c r="T112" t="s">
        <v>82</v>
      </c>
      <c r="U112" t="s">
        <v>82</v>
      </c>
      <c r="V112">
        <v>-7.032</v>
      </c>
      <c r="W112">
        <v>0</v>
      </c>
      <c r="X112">
        <v>1.5129999999999999</v>
      </c>
      <c r="Y112">
        <v>4.2469999999999999</v>
      </c>
      <c r="Z112">
        <v>-1.2869999999999999</v>
      </c>
      <c r="AA112">
        <v>3.3479999999999999</v>
      </c>
      <c r="AB112">
        <v>9.3949999999999996</v>
      </c>
      <c r="AC112">
        <v>-0.93500000000000005</v>
      </c>
      <c r="AD112">
        <v>4.6349999999999998</v>
      </c>
      <c r="AE112">
        <v>3.2810000000000001</v>
      </c>
      <c r="AF112">
        <v>7.1959999999999997</v>
      </c>
      <c r="AG112">
        <v>1.7310000000000001</v>
      </c>
      <c r="AH112">
        <v>2.2000000000000002</v>
      </c>
      <c r="AI112">
        <v>7.4</v>
      </c>
      <c r="AJ112">
        <v>2.177</v>
      </c>
      <c r="AK112">
        <v>6.6859999999999999</v>
      </c>
      <c r="AL112">
        <v>4.8550000000000004</v>
      </c>
      <c r="AM112">
        <v>0.98399999999999999</v>
      </c>
      <c r="AN112">
        <v>3.4750000000000001</v>
      </c>
      <c r="AO112">
        <v>0</v>
      </c>
      <c r="AP112">
        <v>2.0369999999999999</v>
      </c>
      <c r="AQ112">
        <v>0.8</v>
      </c>
      <c r="AR112">
        <v>1.9359999999999999</v>
      </c>
      <c r="AS112">
        <v>2.0659999999999998</v>
      </c>
      <c r="AT112">
        <v>1.4259999999999999</v>
      </c>
      <c r="AU112">
        <v>1.5609999999999999</v>
      </c>
      <c r="AV112">
        <v>1.7569999999999999</v>
      </c>
      <c r="AW112">
        <v>1.921</v>
      </c>
    </row>
    <row r="113" spans="1:49" x14ac:dyDescent="0.35">
      <c r="A113" t="s">
        <v>136</v>
      </c>
      <c r="B113" t="s">
        <v>83</v>
      </c>
      <c r="D113" t="s">
        <v>64</v>
      </c>
    </row>
    <row r="114" spans="1:49" x14ac:dyDescent="0.35">
      <c r="A114" t="s">
        <v>136</v>
      </c>
      <c r="B114" t="s">
        <v>84</v>
      </c>
      <c r="C114" t="s">
        <v>85</v>
      </c>
      <c r="D114" t="s">
        <v>35</v>
      </c>
      <c r="F114" t="s">
        <v>139</v>
      </c>
      <c r="G114">
        <v>3.2290000000000001</v>
      </c>
      <c r="H114">
        <v>54.02</v>
      </c>
      <c r="I114">
        <v>-1.528</v>
      </c>
      <c r="J114">
        <v>-16.190000000000001</v>
      </c>
      <c r="K114">
        <v>66.5</v>
      </c>
      <c r="L114">
        <v>18.3</v>
      </c>
      <c r="M114">
        <v>-4.5999999999999996</v>
      </c>
      <c r="N114">
        <v>-23.033000000000001</v>
      </c>
      <c r="O114">
        <v>14.359</v>
      </c>
      <c r="P114">
        <v>-10.016999999999999</v>
      </c>
      <c r="Q114">
        <v>15.167</v>
      </c>
      <c r="R114">
        <v>4.2439999999999998</v>
      </c>
      <c r="S114">
        <v>13.502000000000001</v>
      </c>
      <c r="T114">
        <v>-6.5259999999999998</v>
      </c>
      <c r="U114">
        <v>-6.9249999999999998</v>
      </c>
      <c r="V114">
        <v>3.7490000000000001</v>
      </c>
      <c r="W114">
        <v>-4.6210000000000004</v>
      </c>
      <c r="X114">
        <v>4.4139999999999997</v>
      </c>
      <c r="Y114">
        <v>-10.590999999999999</v>
      </c>
      <c r="Z114">
        <v>-2.726</v>
      </c>
      <c r="AA114">
        <v>-8.4429999999999996</v>
      </c>
      <c r="AB114">
        <v>7.0869999999999997</v>
      </c>
      <c r="AC114">
        <v>10.519</v>
      </c>
      <c r="AD114">
        <v>12.731</v>
      </c>
      <c r="AE114">
        <v>2.7029999999999998</v>
      </c>
      <c r="AF114">
        <v>6.7439999999999998</v>
      </c>
      <c r="AG114">
        <v>7.0789999999999997</v>
      </c>
      <c r="AH114">
        <v>1.032</v>
      </c>
      <c r="AI114">
        <v>16.707999999999998</v>
      </c>
      <c r="AJ114">
        <v>10.276999999999999</v>
      </c>
      <c r="AK114">
        <v>2.331</v>
      </c>
      <c r="AL114">
        <v>-3.27</v>
      </c>
      <c r="AM114">
        <v>8.0329999999999995</v>
      </c>
      <c r="AN114">
        <v>6.359</v>
      </c>
      <c r="AO114">
        <v>-5.1829999999999998</v>
      </c>
      <c r="AP114">
        <v>-4.0730000000000004</v>
      </c>
      <c r="AQ114">
        <v>8.1310000000000002</v>
      </c>
      <c r="AR114">
        <v>5.1319999999999997</v>
      </c>
      <c r="AS114">
        <v>4.7489999999999997</v>
      </c>
      <c r="AT114">
        <v>4.7560000000000002</v>
      </c>
      <c r="AU114">
        <v>4.1989999999999998</v>
      </c>
      <c r="AV114">
        <v>4.2789999999999999</v>
      </c>
      <c r="AW114">
        <v>3.1150000000000002</v>
      </c>
    </row>
    <row r="115" spans="1:49" x14ac:dyDescent="0.35">
      <c r="A115" t="s">
        <v>136</v>
      </c>
      <c r="B115" t="s">
        <v>87</v>
      </c>
      <c r="C115" t="s">
        <v>88</v>
      </c>
      <c r="D115" t="s">
        <v>35</v>
      </c>
      <c r="F115" t="s">
        <v>139</v>
      </c>
      <c r="G115">
        <v>-12.265000000000001</v>
      </c>
      <c r="H115">
        <v>18.370999999999999</v>
      </c>
      <c r="I115">
        <v>6.5330000000000004</v>
      </c>
      <c r="J115">
        <v>-1.4610000000000001</v>
      </c>
      <c r="K115">
        <v>62.7</v>
      </c>
      <c r="L115">
        <v>18.317</v>
      </c>
      <c r="M115">
        <v>-4.5890000000000004</v>
      </c>
      <c r="N115">
        <v>0.52100000000000002</v>
      </c>
      <c r="O115">
        <v>13.555</v>
      </c>
      <c r="P115">
        <v>-15.106999999999999</v>
      </c>
      <c r="Q115">
        <v>18.978000000000002</v>
      </c>
      <c r="R115">
        <v>10.707000000000001</v>
      </c>
      <c r="S115">
        <v>14.516</v>
      </c>
      <c r="T115">
        <v>-9.9939999999999998</v>
      </c>
      <c r="U115">
        <v>-12.083</v>
      </c>
      <c r="V115">
        <v>5.87</v>
      </c>
      <c r="W115">
        <v>-3.29</v>
      </c>
      <c r="X115">
        <v>4.992</v>
      </c>
      <c r="Y115">
        <v>-1.0620000000000001</v>
      </c>
      <c r="Z115">
        <v>-4.0469999999999997</v>
      </c>
      <c r="AA115">
        <v>2.6</v>
      </c>
      <c r="AB115">
        <v>9.5419999999999998</v>
      </c>
      <c r="AC115">
        <v>11.824</v>
      </c>
      <c r="AD115">
        <v>14.352</v>
      </c>
      <c r="AE115">
        <v>4.024</v>
      </c>
      <c r="AF115">
        <v>6.4630000000000001</v>
      </c>
      <c r="AG115">
        <v>3.99</v>
      </c>
      <c r="AH115">
        <v>0.83899999999999997</v>
      </c>
      <c r="AI115">
        <v>17.643000000000001</v>
      </c>
      <c r="AJ115">
        <v>11.673</v>
      </c>
      <c r="AK115">
        <v>-0.28100000000000003</v>
      </c>
      <c r="AL115">
        <v>-6.6630000000000003</v>
      </c>
      <c r="AM115">
        <v>11.337</v>
      </c>
      <c r="AN115">
        <v>7.4859999999999998</v>
      </c>
      <c r="AO115">
        <v>-1.0409999999999999</v>
      </c>
      <c r="AP115">
        <v>-5.24</v>
      </c>
      <c r="AQ115">
        <v>10.920999999999999</v>
      </c>
      <c r="AR115">
        <v>4.9089999999999998</v>
      </c>
      <c r="AS115">
        <v>6.3339999999999996</v>
      </c>
      <c r="AT115">
        <v>5.4290000000000003</v>
      </c>
      <c r="AU115">
        <v>3.8809999999999998</v>
      </c>
      <c r="AV115">
        <v>4.0659999999999998</v>
      </c>
      <c r="AW115">
        <v>2.6139999999999999</v>
      </c>
    </row>
    <row r="116" spans="1:49" x14ac:dyDescent="0.35">
      <c r="A116" t="s">
        <v>136</v>
      </c>
      <c r="B116" t="s">
        <v>89</v>
      </c>
      <c r="C116" t="s">
        <v>90</v>
      </c>
      <c r="D116" t="s">
        <v>35</v>
      </c>
      <c r="F116" t="s">
        <v>139</v>
      </c>
      <c r="G116">
        <v>-52.936999999999998</v>
      </c>
      <c r="H116">
        <v>21.800999999999998</v>
      </c>
      <c r="I116">
        <v>27.678000000000001</v>
      </c>
      <c r="J116">
        <v>-13.093999999999999</v>
      </c>
      <c r="K116">
        <v>-54.6</v>
      </c>
      <c r="L116">
        <v>134</v>
      </c>
      <c r="M116">
        <v>4.5999999999999996</v>
      </c>
      <c r="N116">
        <v>-51.694000000000003</v>
      </c>
      <c r="O116">
        <v>99.134</v>
      </c>
      <c r="P116">
        <v>-6.49</v>
      </c>
      <c r="Q116">
        <v>-10.241</v>
      </c>
      <c r="R116">
        <v>47.968000000000004</v>
      </c>
      <c r="S116">
        <v>-7.7190000000000003</v>
      </c>
      <c r="T116">
        <v>20.196999999999999</v>
      </c>
      <c r="U116">
        <v>-16.940000000000001</v>
      </c>
      <c r="V116">
        <v>10.311999999999999</v>
      </c>
      <c r="W116">
        <v>-10.645</v>
      </c>
      <c r="X116">
        <v>4.5170000000000003</v>
      </c>
      <c r="Y116">
        <v>-28.721</v>
      </c>
      <c r="Z116">
        <v>7.4039999999999999</v>
      </c>
      <c r="AA116">
        <v>11.241</v>
      </c>
      <c r="AB116">
        <v>-22.050999999999998</v>
      </c>
      <c r="AC116">
        <v>9.2520000000000007</v>
      </c>
      <c r="AD116">
        <v>-17.266999999999999</v>
      </c>
      <c r="AE116">
        <v>21.806999999999999</v>
      </c>
      <c r="AF116">
        <v>21.027000000000001</v>
      </c>
      <c r="AG116">
        <v>6.52</v>
      </c>
      <c r="AH116">
        <v>5.742</v>
      </c>
      <c r="AI116">
        <v>-3.1030000000000002</v>
      </c>
      <c r="AJ116">
        <v>-4.7389999999999999</v>
      </c>
      <c r="AK116">
        <v>14.004</v>
      </c>
      <c r="AL116">
        <v>-1.837</v>
      </c>
      <c r="AM116">
        <v>-10.382</v>
      </c>
      <c r="AN116">
        <v>18.934999999999999</v>
      </c>
      <c r="AO116">
        <v>12.303000000000001</v>
      </c>
      <c r="AP116">
        <v>3.0489999999999999</v>
      </c>
      <c r="AQ116">
        <v>-14.837999999999999</v>
      </c>
      <c r="AR116">
        <v>-4.5730000000000004</v>
      </c>
      <c r="AS116">
        <v>1.1299999999999999</v>
      </c>
      <c r="AT116">
        <v>1.1299999999999999</v>
      </c>
      <c r="AU116">
        <v>1.1479999999999999</v>
      </c>
      <c r="AV116">
        <v>1.1479999999999999</v>
      </c>
      <c r="AW116">
        <v>1.3440000000000001</v>
      </c>
    </row>
    <row r="117" spans="1:49" x14ac:dyDescent="0.35">
      <c r="A117" t="s">
        <v>136</v>
      </c>
      <c r="B117" t="s">
        <v>91</v>
      </c>
      <c r="C117" t="s">
        <v>92</v>
      </c>
      <c r="D117" t="s">
        <v>35</v>
      </c>
      <c r="F117" t="s">
        <v>139</v>
      </c>
      <c r="G117">
        <v>-61.844999999999999</v>
      </c>
      <c r="H117">
        <v>46.723999999999997</v>
      </c>
      <c r="I117">
        <v>18.102</v>
      </c>
      <c r="J117">
        <v>-10.893000000000001</v>
      </c>
      <c r="K117">
        <v>-67.900000000000006</v>
      </c>
      <c r="L117">
        <v>241.505</v>
      </c>
      <c r="M117">
        <v>30.045000000000002</v>
      </c>
      <c r="N117">
        <v>-51.642000000000003</v>
      </c>
      <c r="O117">
        <v>113.545</v>
      </c>
      <c r="P117">
        <v>-15.135999999999999</v>
      </c>
      <c r="Q117">
        <v>-14.113</v>
      </c>
      <c r="R117">
        <v>55.234999999999999</v>
      </c>
      <c r="S117">
        <v>-15.891</v>
      </c>
      <c r="T117">
        <v>20.321999999999999</v>
      </c>
      <c r="U117">
        <v>-36.036999999999999</v>
      </c>
      <c r="V117">
        <v>20.315000000000001</v>
      </c>
      <c r="W117">
        <v>-31.901</v>
      </c>
      <c r="X117">
        <v>35.427999999999997</v>
      </c>
      <c r="Y117">
        <v>9.4510000000000005</v>
      </c>
      <c r="Z117">
        <v>-22.914000000000001</v>
      </c>
      <c r="AA117">
        <v>-2.6389999999999998</v>
      </c>
      <c r="AB117">
        <v>-20.148</v>
      </c>
      <c r="AC117">
        <v>11.064</v>
      </c>
      <c r="AD117">
        <v>-33.661999999999999</v>
      </c>
      <c r="AE117">
        <v>-4.6020000000000003</v>
      </c>
      <c r="AF117">
        <v>10.765000000000001</v>
      </c>
      <c r="AG117">
        <v>12.05</v>
      </c>
      <c r="AH117">
        <v>17.163</v>
      </c>
      <c r="AI117">
        <v>-36.137</v>
      </c>
      <c r="AJ117">
        <v>27.184000000000001</v>
      </c>
      <c r="AK117">
        <v>20.312999999999999</v>
      </c>
      <c r="AL117">
        <v>-24.302</v>
      </c>
      <c r="AM117">
        <v>-28.068999999999999</v>
      </c>
      <c r="AN117">
        <v>25.602</v>
      </c>
      <c r="AO117">
        <v>71.721000000000004</v>
      </c>
      <c r="AP117">
        <v>-34.725000000000001</v>
      </c>
      <c r="AQ117">
        <v>33.892000000000003</v>
      </c>
      <c r="AR117">
        <v>-23.343</v>
      </c>
      <c r="AS117">
        <v>2.7770000000000001</v>
      </c>
      <c r="AT117">
        <v>2.802</v>
      </c>
      <c r="AU117">
        <v>2.839</v>
      </c>
      <c r="AV117">
        <v>2.8620000000000001</v>
      </c>
      <c r="AW117">
        <v>2.899</v>
      </c>
    </row>
    <row r="118" spans="1:49" x14ac:dyDescent="0.35">
      <c r="A118" t="s">
        <v>136</v>
      </c>
      <c r="B118" t="s">
        <v>93</v>
      </c>
      <c r="C118" t="s">
        <v>94</v>
      </c>
      <c r="D118" t="s">
        <v>95</v>
      </c>
    </row>
    <row r="119" spans="1:49" x14ac:dyDescent="0.35">
      <c r="A119" t="s">
        <v>136</v>
      </c>
      <c r="B119" t="s">
        <v>96</v>
      </c>
      <c r="C119" t="s">
        <v>97</v>
      </c>
      <c r="D119" t="s">
        <v>98</v>
      </c>
      <c r="E119" t="s">
        <v>99</v>
      </c>
    </row>
    <row r="120" spans="1:49" x14ac:dyDescent="0.35">
      <c r="A120" t="s">
        <v>136</v>
      </c>
      <c r="B120" t="s">
        <v>100</v>
      </c>
      <c r="C120" t="s">
        <v>101</v>
      </c>
      <c r="D120" t="s">
        <v>98</v>
      </c>
      <c r="E120" t="s">
        <v>99</v>
      </c>
      <c r="F120" t="s">
        <v>140</v>
      </c>
      <c r="G120">
        <v>0.35299999999999998</v>
      </c>
      <c r="H120">
        <v>0.36199999999999999</v>
      </c>
      <c r="I120">
        <v>0.371</v>
      </c>
      <c r="J120">
        <v>0.379</v>
      </c>
      <c r="K120">
        <v>0.38300000000000001</v>
      </c>
      <c r="L120">
        <v>0.39500000000000002</v>
      </c>
      <c r="M120">
        <v>0.40799999999999997</v>
      </c>
      <c r="N120">
        <v>0.42099999999999999</v>
      </c>
      <c r="O120">
        <v>0.435</v>
      </c>
      <c r="P120">
        <v>0.44900000000000001</v>
      </c>
      <c r="Q120">
        <v>0.46200000000000002</v>
      </c>
      <c r="R120">
        <v>0.44700000000000001</v>
      </c>
      <c r="S120">
        <v>0.45700000000000002</v>
      </c>
      <c r="T120">
        <v>0.46600000000000003</v>
      </c>
      <c r="U120">
        <v>0.47599999999999998</v>
      </c>
      <c r="V120">
        <v>0.48599999999999999</v>
      </c>
      <c r="W120">
        <v>0.497</v>
      </c>
      <c r="X120">
        <v>0.50700000000000001</v>
      </c>
      <c r="Y120">
        <v>0.51800000000000002</v>
      </c>
      <c r="Z120">
        <v>0.52900000000000003</v>
      </c>
      <c r="AA120">
        <v>0.54</v>
      </c>
      <c r="AB120">
        <v>0.55200000000000005</v>
      </c>
      <c r="AC120">
        <v>0.56399999999999995</v>
      </c>
      <c r="AD120">
        <v>0.57599999999999996</v>
      </c>
      <c r="AE120">
        <v>0.59299999999999997</v>
      </c>
      <c r="AF120">
        <v>0.6</v>
      </c>
      <c r="AG120">
        <v>0.61299999999999999</v>
      </c>
      <c r="AH120">
        <v>0.63100000000000001</v>
      </c>
      <c r="AI120">
        <v>0.65</v>
      </c>
      <c r="AJ120">
        <v>0.67</v>
      </c>
      <c r="AK120">
        <v>0.69</v>
      </c>
      <c r="AL120">
        <v>0.71</v>
      </c>
      <c r="AM120">
        <v>0.73199999999999998</v>
      </c>
      <c r="AN120">
        <v>0.754</v>
      </c>
      <c r="AO120">
        <v>0.77600000000000002</v>
      </c>
      <c r="AP120">
        <v>0.79900000000000004</v>
      </c>
      <c r="AQ120">
        <v>0.82299999999999995</v>
      </c>
      <c r="AR120">
        <v>0.84799999999999998</v>
      </c>
      <c r="AS120">
        <v>0.874</v>
      </c>
      <c r="AT120">
        <v>0.9</v>
      </c>
      <c r="AU120">
        <v>0.92700000000000005</v>
      </c>
      <c r="AV120">
        <v>0.95499999999999996</v>
      </c>
      <c r="AW120">
        <v>0.98299999999999998</v>
      </c>
    </row>
    <row r="121" spans="1:49" x14ac:dyDescent="0.35">
      <c r="A121" t="s">
        <v>136</v>
      </c>
      <c r="B121" t="s">
        <v>103</v>
      </c>
      <c r="C121" t="s">
        <v>104</v>
      </c>
      <c r="D121" t="s">
        <v>31</v>
      </c>
      <c r="E121" t="s">
        <v>32</v>
      </c>
      <c r="F121" t="s">
        <v>141</v>
      </c>
      <c r="G121" t="s">
        <v>82</v>
      </c>
      <c r="H121" t="s">
        <v>82</v>
      </c>
      <c r="I121" t="s">
        <v>82</v>
      </c>
      <c r="J121" t="s">
        <v>82</v>
      </c>
      <c r="K121">
        <v>14.542</v>
      </c>
      <c r="L121">
        <v>17.024999999999999</v>
      </c>
      <c r="M121">
        <v>18.542999999999999</v>
      </c>
      <c r="N121">
        <v>18.181000000000001</v>
      </c>
      <c r="O121">
        <v>17.545000000000002</v>
      </c>
      <c r="P121">
        <v>19.241</v>
      </c>
      <c r="Q121">
        <v>21.018999999999998</v>
      </c>
      <c r="R121">
        <v>19.977</v>
      </c>
      <c r="S121">
        <v>21.218</v>
      </c>
      <c r="T121">
        <v>21.251999999999999</v>
      </c>
      <c r="U121">
        <v>23.699000000000002</v>
      </c>
      <c r="V121">
        <v>20.95</v>
      </c>
      <c r="W121">
        <v>18.195</v>
      </c>
      <c r="X121">
        <v>21.010999999999999</v>
      </c>
      <c r="Y121">
        <v>17.812000000000001</v>
      </c>
      <c r="Z121">
        <v>18.885000000000002</v>
      </c>
      <c r="AA121">
        <v>15.555999999999999</v>
      </c>
      <c r="AB121">
        <v>22.234999999999999</v>
      </c>
      <c r="AC121">
        <v>26.928999999999998</v>
      </c>
      <c r="AD121">
        <v>25.481999999999999</v>
      </c>
      <c r="AE121">
        <v>26.434000000000001</v>
      </c>
      <c r="AF121">
        <v>30.509</v>
      </c>
      <c r="AG121">
        <v>29.533999999999999</v>
      </c>
      <c r="AH121">
        <v>33.945</v>
      </c>
      <c r="AI121">
        <v>41.853000000000002</v>
      </c>
      <c r="AJ121">
        <v>44.776000000000003</v>
      </c>
      <c r="AK121">
        <v>58.869</v>
      </c>
      <c r="AL121">
        <v>50.906999999999996</v>
      </c>
      <c r="AM121">
        <v>65.442999999999998</v>
      </c>
      <c r="AN121">
        <v>104.672</v>
      </c>
      <c r="AO121">
        <v>60.45</v>
      </c>
      <c r="AP121">
        <v>82.447000000000003</v>
      </c>
      <c r="AQ121">
        <v>63.841000000000001</v>
      </c>
      <c r="AR121">
        <v>77.132999999999996</v>
      </c>
      <c r="AS121">
        <v>76.158000000000001</v>
      </c>
      <c r="AT121">
        <v>81.471999999999994</v>
      </c>
      <c r="AU121">
        <v>87.292000000000002</v>
      </c>
      <c r="AV121">
        <v>96.286000000000001</v>
      </c>
      <c r="AW121">
        <v>101.93300000000001</v>
      </c>
    </row>
    <row r="122" spans="1:49" x14ac:dyDescent="0.35">
      <c r="A122" t="s">
        <v>136</v>
      </c>
      <c r="B122" t="s">
        <v>103</v>
      </c>
      <c r="C122" t="s">
        <v>104</v>
      </c>
      <c r="D122" t="s">
        <v>70</v>
      </c>
      <c r="F122" t="s">
        <v>106</v>
      </c>
      <c r="G122" t="s">
        <v>82</v>
      </c>
      <c r="H122" t="s">
        <v>82</v>
      </c>
      <c r="I122" t="s">
        <v>82</v>
      </c>
      <c r="J122" t="s">
        <v>82</v>
      </c>
      <c r="K122">
        <v>28.221</v>
      </c>
      <c r="L122">
        <v>31.617999999999999</v>
      </c>
      <c r="M122">
        <v>32.953000000000003</v>
      </c>
      <c r="N122">
        <v>30.797999999999998</v>
      </c>
      <c r="O122">
        <v>28.391999999999999</v>
      </c>
      <c r="P122">
        <v>30.35</v>
      </c>
      <c r="Q122">
        <v>30.876000000000001</v>
      </c>
      <c r="R122">
        <v>27.265999999999998</v>
      </c>
      <c r="S122">
        <v>28.544</v>
      </c>
      <c r="T122">
        <v>27.01</v>
      </c>
      <c r="U122">
        <v>30.638000000000002</v>
      </c>
      <c r="V122">
        <v>24.132999999999999</v>
      </c>
      <c r="W122">
        <v>20.574999999999999</v>
      </c>
      <c r="X122">
        <v>22.632000000000001</v>
      </c>
      <c r="Y122">
        <v>18.690000000000001</v>
      </c>
      <c r="Z122">
        <v>18.373999999999999</v>
      </c>
      <c r="AA122">
        <v>14.429</v>
      </c>
      <c r="AB122">
        <v>18.373999999999999</v>
      </c>
      <c r="AC122">
        <v>20.51</v>
      </c>
      <c r="AD122">
        <v>18.016999999999999</v>
      </c>
      <c r="AE122">
        <v>18.408000000000001</v>
      </c>
      <c r="AF122">
        <v>19.925999999999998</v>
      </c>
      <c r="AG122">
        <v>18.678999999999998</v>
      </c>
      <c r="AH122">
        <v>20.311</v>
      </c>
      <c r="AI122">
        <v>23.507000000000001</v>
      </c>
      <c r="AJ122">
        <v>23.623000000000001</v>
      </c>
      <c r="AK122">
        <v>29.164999999999999</v>
      </c>
      <c r="AL122">
        <v>23.564</v>
      </c>
      <c r="AM122">
        <v>28.678999999999998</v>
      </c>
      <c r="AN122">
        <v>42.968000000000004</v>
      </c>
      <c r="AO122">
        <v>23.853000000000002</v>
      </c>
      <c r="AP122">
        <v>31.745000000000001</v>
      </c>
      <c r="AQ122">
        <v>23.417999999999999</v>
      </c>
      <c r="AR122">
        <v>26.82</v>
      </c>
      <c r="AS122">
        <v>24.91</v>
      </c>
      <c r="AT122">
        <v>25.071999999999999</v>
      </c>
      <c r="AU122">
        <v>25.251999999999999</v>
      </c>
      <c r="AV122">
        <v>26.189</v>
      </c>
      <c r="AW122">
        <v>26.068999999999999</v>
      </c>
    </row>
    <row r="123" spans="1:49" x14ac:dyDescent="0.35">
      <c r="A123" t="s">
        <v>136</v>
      </c>
      <c r="B123" t="s">
        <v>107</v>
      </c>
      <c r="C123" t="s">
        <v>108</v>
      </c>
      <c r="D123" t="s">
        <v>31</v>
      </c>
      <c r="E123" t="s">
        <v>32</v>
      </c>
      <c r="F123" t="s">
        <v>141</v>
      </c>
      <c r="G123" t="s">
        <v>82</v>
      </c>
      <c r="H123" t="s">
        <v>82</v>
      </c>
      <c r="I123" t="s">
        <v>82</v>
      </c>
      <c r="J123" t="s">
        <v>82</v>
      </c>
      <c r="K123">
        <v>19.254000000000001</v>
      </c>
      <c r="L123">
        <v>21.356000000000002</v>
      </c>
      <c r="M123">
        <v>22.86</v>
      </c>
      <c r="N123">
        <v>21.11</v>
      </c>
      <c r="O123">
        <v>20.239999999999998</v>
      </c>
      <c r="P123">
        <v>20.619</v>
      </c>
      <c r="Q123">
        <v>22.143999999999998</v>
      </c>
      <c r="R123">
        <v>22.527000000000001</v>
      </c>
      <c r="S123">
        <v>23.518000000000001</v>
      </c>
      <c r="T123">
        <v>19.709</v>
      </c>
      <c r="U123">
        <v>28.548999999999999</v>
      </c>
      <c r="V123">
        <v>27.021999999999998</v>
      </c>
      <c r="W123">
        <v>23.353000000000002</v>
      </c>
      <c r="X123">
        <v>23.076000000000001</v>
      </c>
      <c r="Y123">
        <v>21.038</v>
      </c>
      <c r="Z123">
        <v>19.669</v>
      </c>
      <c r="AA123">
        <v>17.614000000000001</v>
      </c>
      <c r="AB123">
        <v>26.591999999999999</v>
      </c>
      <c r="AC123">
        <v>31.699000000000002</v>
      </c>
      <c r="AD123">
        <v>30.347000000000001</v>
      </c>
      <c r="AE123">
        <v>28.847000000000001</v>
      </c>
      <c r="AF123">
        <v>30.425000000000001</v>
      </c>
      <c r="AG123">
        <v>33.598999999999997</v>
      </c>
      <c r="AH123">
        <v>37.314</v>
      </c>
      <c r="AI123">
        <v>46.338000000000001</v>
      </c>
      <c r="AJ123">
        <v>43.627000000000002</v>
      </c>
      <c r="AK123">
        <v>44.703000000000003</v>
      </c>
      <c r="AL123">
        <v>47.792999999999999</v>
      </c>
      <c r="AM123">
        <v>57.802999999999997</v>
      </c>
      <c r="AN123">
        <v>61.305</v>
      </c>
      <c r="AO123">
        <v>61.790999999999997</v>
      </c>
      <c r="AP123">
        <v>71.058999999999997</v>
      </c>
      <c r="AQ123">
        <v>83.65</v>
      </c>
      <c r="AR123">
        <v>90.114000000000004</v>
      </c>
      <c r="AS123">
        <v>92.063999999999993</v>
      </c>
      <c r="AT123">
        <v>96</v>
      </c>
      <c r="AU123">
        <v>105.322</v>
      </c>
      <c r="AV123">
        <v>112.88800000000001</v>
      </c>
      <c r="AW123">
        <v>120.586</v>
      </c>
    </row>
    <row r="124" spans="1:49" x14ac:dyDescent="0.35">
      <c r="A124" t="s">
        <v>136</v>
      </c>
      <c r="B124" t="s">
        <v>107</v>
      </c>
      <c r="C124" t="s">
        <v>108</v>
      </c>
      <c r="D124" t="s">
        <v>70</v>
      </c>
      <c r="F124" t="s">
        <v>109</v>
      </c>
      <c r="G124" t="s">
        <v>82</v>
      </c>
      <c r="H124" t="s">
        <v>82</v>
      </c>
      <c r="I124" t="s">
        <v>82</v>
      </c>
      <c r="J124" t="s">
        <v>82</v>
      </c>
      <c r="K124">
        <v>37.366</v>
      </c>
      <c r="L124">
        <v>39.659999999999997</v>
      </c>
      <c r="M124">
        <v>40.625999999999998</v>
      </c>
      <c r="N124">
        <v>35.759</v>
      </c>
      <c r="O124">
        <v>32.752000000000002</v>
      </c>
      <c r="P124">
        <v>32.524000000000001</v>
      </c>
      <c r="Q124">
        <v>32.529000000000003</v>
      </c>
      <c r="R124">
        <v>30.745999999999999</v>
      </c>
      <c r="S124">
        <v>31.638000000000002</v>
      </c>
      <c r="T124">
        <v>25.05</v>
      </c>
      <c r="U124">
        <v>36.908000000000001</v>
      </c>
      <c r="V124">
        <v>31.126999999999999</v>
      </c>
      <c r="W124">
        <v>26.408000000000001</v>
      </c>
      <c r="X124">
        <v>24.856999999999999</v>
      </c>
      <c r="Y124">
        <v>22.074999999999999</v>
      </c>
      <c r="Z124">
        <v>19.135999999999999</v>
      </c>
      <c r="AA124">
        <v>16.338000000000001</v>
      </c>
      <c r="AB124">
        <v>21.975000000000001</v>
      </c>
      <c r="AC124">
        <v>24.143999999999998</v>
      </c>
      <c r="AD124">
        <v>21.456</v>
      </c>
      <c r="AE124">
        <v>20.088999999999999</v>
      </c>
      <c r="AF124">
        <v>19.870999999999999</v>
      </c>
      <c r="AG124">
        <v>21.25</v>
      </c>
      <c r="AH124">
        <v>22.327000000000002</v>
      </c>
      <c r="AI124">
        <v>26.026</v>
      </c>
      <c r="AJ124">
        <v>23.016999999999999</v>
      </c>
      <c r="AK124">
        <v>22.146999999999998</v>
      </c>
      <c r="AL124">
        <v>22.122</v>
      </c>
      <c r="AM124">
        <v>25.331</v>
      </c>
      <c r="AN124">
        <v>25.164999999999999</v>
      </c>
      <c r="AO124">
        <v>24.382999999999999</v>
      </c>
      <c r="AP124">
        <v>27.361000000000001</v>
      </c>
      <c r="AQ124">
        <v>30.684999999999999</v>
      </c>
      <c r="AR124">
        <v>31.332999999999998</v>
      </c>
      <c r="AS124">
        <v>30.113</v>
      </c>
      <c r="AT124">
        <v>29.542999999999999</v>
      </c>
      <c r="AU124">
        <v>30.468</v>
      </c>
      <c r="AV124">
        <v>30.704999999999998</v>
      </c>
      <c r="AW124">
        <v>30.838999999999999</v>
      </c>
    </row>
    <row r="125" spans="1:49" x14ac:dyDescent="0.35">
      <c r="A125" t="s">
        <v>136</v>
      </c>
      <c r="B125" t="s">
        <v>110</v>
      </c>
      <c r="C125" t="s">
        <v>111</v>
      </c>
      <c r="D125" t="s">
        <v>31</v>
      </c>
      <c r="E125" t="s">
        <v>32</v>
      </c>
      <c r="F125" t="s">
        <v>141</v>
      </c>
      <c r="G125" t="s">
        <v>82</v>
      </c>
      <c r="H125" t="s">
        <v>82</v>
      </c>
      <c r="I125" t="s">
        <v>82</v>
      </c>
      <c r="J125" t="s">
        <v>82</v>
      </c>
      <c r="K125">
        <v>-4.7119999999999997</v>
      </c>
      <c r="L125">
        <v>-4.3310000000000004</v>
      </c>
      <c r="M125">
        <v>-4.3170000000000002</v>
      </c>
      <c r="N125">
        <v>-2.9289999999999998</v>
      </c>
      <c r="O125">
        <v>-2.6949999999999998</v>
      </c>
      <c r="P125">
        <v>-1.3779999999999999</v>
      </c>
      <c r="Q125">
        <v>-1.125</v>
      </c>
      <c r="R125">
        <v>-2.5489999999999999</v>
      </c>
      <c r="S125">
        <v>-2.2999999999999998</v>
      </c>
      <c r="T125">
        <v>1.5429999999999999</v>
      </c>
      <c r="U125">
        <v>-4.8499999999999996</v>
      </c>
      <c r="V125">
        <v>-6.0709999999999997</v>
      </c>
      <c r="W125">
        <v>-5.1589999999999998</v>
      </c>
      <c r="X125">
        <v>-2.0649999999999999</v>
      </c>
      <c r="Y125">
        <v>-3.226</v>
      </c>
      <c r="Z125">
        <v>-0.78400000000000003</v>
      </c>
      <c r="AA125">
        <v>-2.0579999999999998</v>
      </c>
      <c r="AB125">
        <v>-4.3570000000000002</v>
      </c>
      <c r="AC125">
        <v>-4.7709999999999999</v>
      </c>
      <c r="AD125">
        <v>-4.8650000000000002</v>
      </c>
      <c r="AE125">
        <v>-2.4129999999999998</v>
      </c>
      <c r="AF125">
        <v>8.4000000000000005E-2</v>
      </c>
      <c r="AG125">
        <v>-4.0650000000000004</v>
      </c>
      <c r="AH125">
        <v>-3.3690000000000002</v>
      </c>
      <c r="AI125">
        <v>-4.4850000000000003</v>
      </c>
      <c r="AJ125">
        <v>1.1479999999999999</v>
      </c>
      <c r="AK125">
        <v>14.164999999999999</v>
      </c>
      <c r="AL125">
        <v>3.1139999999999999</v>
      </c>
      <c r="AM125">
        <v>7.641</v>
      </c>
      <c r="AN125">
        <v>43.368000000000002</v>
      </c>
      <c r="AO125">
        <v>-1.341</v>
      </c>
      <c r="AP125">
        <v>11.388</v>
      </c>
      <c r="AQ125">
        <v>-19.809999999999999</v>
      </c>
      <c r="AR125">
        <v>-12.981</v>
      </c>
      <c r="AS125">
        <v>-15.907</v>
      </c>
      <c r="AT125">
        <v>-14.526999999999999</v>
      </c>
      <c r="AU125">
        <v>-18.03</v>
      </c>
      <c r="AV125">
        <v>-16.602</v>
      </c>
      <c r="AW125">
        <v>-18.652999999999999</v>
      </c>
    </row>
    <row r="126" spans="1:49" x14ac:dyDescent="0.35">
      <c r="A126" t="s">
        <v>136</v>
      </c>
      <c r="B126" t="s">
        <v>110</v>
      </c>
      <c r="C126" t="s">
        <v>111</v>
      </c>
      <c r="D126" t="s">
        <v>70</v>
      </c>
      <c r="F126" t="s">
        <v>112</v>
      </c>
      <c r="G126" t="s">
        <v>82</v>
      </c>
      <c r="H126" t="s">
        <v>82</v>
      </c>
      <c r="I126" t="s">
        <v>82</v>
      </c>
      <c r="J126" t="s">
        <v>82</v>
      </c>
      <c r="K126">
        <v>-9.1449999999999996</v>
      </c>
      <c r="L126">
        <v>-8.0419999999999998</v>
      </c>
      <c r="M126">
        <v>-7.673</v>
      </c>
      <c r="N126">
        <v>-4.9619999999999997</v>
      </c>
      <c r="O126">
        <v>-4.3609999999999998</v>
      </c>
      <c r="P126">
        <v>-2.1739999999999999</v>
      </c>
      <c r="Q126">
        <v>-1.653</v>
      </c>
      <c r="R126">
        <v>-3.48</v>
      </c>
      <c r="S126">
        <v>-3.0939999999999999</v>
      </c>
      <c r="T126">
        <v>1.9610000000000001</v>
      </c>
      <c r="U126">
        <v>-6.27</v>
      </c>
      <c r="V126">
        <v>-6.9939999999999998</v>
      </c>
      <c r="W126">
        <v>-5.8330000000000002</v>
      </c>
      <c r="X126">
        <v>-2.2240000000000002</v>
      </c>
      <c r="Y126">
        <v>-3.3849999999999998</v>
      </c>
      <c r="Z126">
        <v>-0.76200000000000001</v>
      </c>
      <c r="AA126">
        <v>-1.909</v>
      </c>
      <c r="AB126">
        <v>-3.601</v>
      </c>
      <c r="AC126">
        <v>-3.6339999999999999</v>
      </c>
      <c r="AD126">
        <v>-3.4390000000000001</v>
      </c>
      <c r="AE126">
        <v>-1.681</v>
      </c>
      <c r="AF126">
        <v>5.5E-2</v>
      </c>
      <c r="AG126">
        <v>-2.5710000000000002</v>
      </c>
      <c r="AH126">
        <v>-2.016</v>
      </c>
      <c r="AI126">
        <v>-2.5190000000000001</v>
      </c>
      <c r="AJ126">
        <v>0.60599999999999998</v>
      </c>
      <c r="AK126">
        <v>7.0179999999999998</v>
      </c>
      <c r="AL126">
        <v>1.4410000000000001</v>
      </c>
      <c r="AM126">
        <v>3.3479999999999999</v>
      </c>
      <c r="AN126">
        <v>17.802</v>
      </c>
      <c r="AO126">
        <v>-0.52900000000000003</v>
      </c>
      <c r="AP126">
        <v>4.3849999999999998</v>
      </c>
      <c r="AQ126">
        <v>-7.2670000000000003</v>
      </c>
      <c r="AR126">
        <v>-4.5140000000000002</v>
      </c>
      <c r="AS126">
        <v>-5.2030000000000003</v>
      </c>
      <c r="AT126">
        <v>-4.4710000000000001</v>
      </c>
      <c r="AU126">
        <v>-5.2160000000000002</v>
      </c>
      <c r="AV126">
        <v>-4.516</v>
      </c>
      <c r="AW126">
        <v>-4.7699999999999996</v>
      </c>
    </row>
    <row r="127" spans="1:49" x14ac:dyDescent="0.35">
      <c r="A127" t="s">
        <v>136</v>
      </c>
      <c r="B127" t="s">
        <v>113</v>
      </c>
      <c r="C127" t="s">
        <v>114</v>
      </c>
      <c r="D127" t="s">
        <v>31</v>
      </c>
      <c r="E127" t="s">
        <v>32</v>
      </c>
    </row>
    <row r="128" spans="1:49" x14ac:dyDescent="0.35">
      <c r="A128" t="s">
        <v>136</v>
      </c>
      <c r="B128" t="s">
        <v>113</v>
      </c>
      <c r="C128" t="s">
        <v>114</v>
      </c>
      <c r="D128" t="s">
        <v>61</v>
      </c>
    </row>
    <row r="129" spans="1:49" x14ac:dyDescent="0.35">
      <c r="A129" t="s">
        <v>136</v>
      </c>
      <c r="B129" t="s">
        <v>115</v>
      </c>
      <c r="C129" t="s">
        <v>116</v>
      </c>
      <c r="D129" t="s">
        <v>31</v>
      </c>
      <c r="E129" t="s">
        <v>32</v>
      </c>
      <c r="F129" t="s">
        <v>141</v>
      </c>
      <c r="G129" t="s">
        <v>82</v>
      </c>
      <c r="H129" t="s">
        <v>82</v>
      </c>
      <c r="I129" t="s">
        <v>82</v>
      </c>
      <c r="J129" t="s">
        <v>82</v>
      </c>
      <c r="K129">
        <v>-3.992</v>
      </c>
      <c r="L129">
        <v>-3.4319999999999999</v>
      </c>
      <c r="M129">
        <v>-3.3210000000000002</v>
      </c>
      <c r="N129">
        <v>-2.0590000000000002</v>
      </c>
      <c r="O129">
        <v>-1.516</v>
      </c>
      <c r="P129">
        <v>-0.44</v>
      </c>
      <c r="Q129">
        <v>-0.187</v>
      </c>
      <c r="R129">
        <v>-1.706</v>
      </c>
      <c r="S129">
        <v>-1.62</v>
      </c>
      <c r="T129">
        <v>2.274</v>
      </c>
      <c r="U129">
        <v>-3.94</v>
      </c>
      <c r="V129">
        <v>-5.2590000000000003</v>
      </c>
      <c r="W129">
        <v>-4.3810000000000002</v>
      </c>
      <c r="X129">
        <v>-1.1779999999999999</v>
      </c>
      <c r="Y129">
        <v>-2.266</v>
      </c>
      <c r="Z129">
        <v>0.16700000000000001</v>
      </c>
      <c r="AA129">
        <v>-1.0980000000000001</v>
      </c>
      <c r="AB129">
        <v>-3.012</v>
      </c>
      <c r="AC129">
        <v>-3.4359999999999999</v>
      </c>
      <c r="AD129">
        <v>-3.4340000000000002</v>
      </c>
      <c r="AE129">
        <v>-1.131</v>
      </c>
      <c r="AF129">
        <v>1.2649999999999999</v>
      </c>
      <c r="AG129">
        <v>-2.92</v>
      </c>
      <c r="AH129">
        <v>-2.548</v>
      </c>
      <c r="AI129">
        <v>-3.2120000000000002</v>
      </c>
      <c r="AJ129">
        <v>2.218</v>
      </c>
      <c r="AK129">
        <v>15.202</v>
      </c>
      <c r="AL129">
        <v>4.0659999999999998</v>
      </c>
      <c r="AM129">
        <v>8.6180000000000003</v>
      </c>
      <c r="AN129">
        <v>43.825000000000003</v>
      </c>
      <c r="AO129">
        <v>-1.139</v>
      </c>
      <c r="AP129">
        <v>11.492000000000001</v>
      </c>
      <c r="AQ129">
        <v>-19.672000000000001</v>
      </c>
      <c r="AR129">
        <v>-12.311</v>
      </c>
      <c r="AS129">
        <v>-15.157999999999999</v>
      </c>
      <c r="AT129">
        <v>-13.699</v>
      </c>
      <c r="AU129">
        <v>-17.123999999999999</v>
      </c>
      <c r="AV129">
        <v>-15.609</v>
      </c>
      <c r="AW129">
        <v>-17.561</v>
      </c>
    </row>
    <row r="130" spans="1:49" x14ac:dyDescent="0.35">
      <c r="A130" t="s">
        <v>136</v>
      </c>
      <c r="B130" t="s">
        <v>115</v>
      </c>
      <c r="C130" t="s">
        <v>116</v>
      </c>
      <c r="D130" t="s">
        <v>70</v>
      </c>
      <c r="F130" t="s">
        <v>117</v>
      </c>
      <c r="G130" t="s">
        <v>82</v>
      </c>
      <c r="H130" t="s">
        <v>82</v>
      </c>
      <c r="I130" t="s">
        <v>82</v>
      </c>
      <c r="J130" t="s">
        <v>82</v>
      </c>
      <c r="K130">
        <v>-7.7480000000000002</v>
      </c>
      <c r="L130">
        <v>-6.3730000000000002</v>
      </c>
      <c r="M130">
        <v>-5.9029999999999996</v>
      </c>
      <c r="N130">
        <v>-3.488</v>
      </c>
      <c r="O130">
        <v>-2.4529999999999998</v>
      </c>
      <c r="P130">
        <v>-0.69399999999999995</v>
      </c>
      <c r="Q130">
        <v>-0.27500000000000002</v>
      </c>
      <c r="R130">
        <v>-2.3290000000000002</v>
      </c>
      <c r="S130">
        <v>-2.1789999999999998</v>
      </c>
      <c r="T130">
        <v>2.891</v>
      </c>
      <c r="U130">
        <v>-5.0940000000000003</v>
      </c>
      <c r="V130">
        <v>-6.0579999999999998</v>
      </c>
      <c r="W130">
        <v>-4.9539999999999997</v>
      </c>
      <c r="X130">
        <v>-1.2689999999999999</v>
      </c>
      <c r="Y130">
        <v>-2.3780000000000001</v>
      </c>
      <c r="Z130">
        <v>0.16200000000000001</v>
      </c>
      <c r="AA130">
        <v>-1.0189999999999999</v>
      </c>
      <c r="AB130">
        <v>-2.4889999999999999</v>
      </c>
      <c r="AC130">
        <v>-2.617</v>
      </c>
      <c r="AD130">
        <v>-2.4279999999999999</v>
      </c>
      <c r="AE130">
        <v>-0.78800000000000003</v>
      </c>
      <c r="AF130">
        <v>0.82599999999999996</v>
      </c>
      <c r="AG130">
        <v>-1.847</v>
      </c>
      <c r="AH130">
        <v>-1.5249999999999999</v>
      </c>
      <c r="AI130">
        <v>-1.804</v>
      </c>
      <c r="AJ130">
        <v>1.17</v>
      </c>
      <c r="AK130">
        <v>7.5309999999999997</v>
      </c>
      <c r="AL130">
        <v>1.8819999999999999</v>
      </c>
      <c r="AM130">
        <v>3.7770000000000001</v>
      </c>
      <c r="AN130">
        <v>17.989999999999998</v>
      </c>
      <c r="AO130">
        <v>-0.44900000000000001</v>
      </c>
      <c r="AP130">
        <v>4.4249999999999998</v>
      </c>
      <c r="AQ130">
        <v>-7.2160000000000002</v>
      </c>
      <c r="AR130">
        <v>-4.2809999999999997</v>
      </c>
      <c r="AS130">
        <v>-4.9580000000000002</v>
      </c>
      <c r="AT130">
        <v>-4.2160000000000002</v>
      </c>
      <c r="AU130">
        <v>-4.9539999999999997</v>
      </c>
      <c r="AV130">
        <v>-4.2460000000000004</v>
      </c>
      <c r="AW130">
        <v>-4.4909999999999997</v>
      </c>
    </row>
    <row r="131" spans="1:49" x14ac:dyDescent="0.35">
      <c r="A131" t="s">
        <v>136</v>
      </c>
      <c r="B131" t="s">
        <v>118</v>
      </c>
      <c r="C131" t="s">
        <v>119</v>
      </c>
      <c r="D131" t="s">
        <v>31</v>
      </c>
      <c r="E131" t="s">
        <v>32</v>
      </c>
    </row>
    <row r="132" spans="1:49" x14ac:dyDescent="0.35">
      <c r="A132" t="s">
        <v>136</v>
      </c>
      <c r="B132" t="s">
        <v>118</v>
      </c>
      <c r="C132" t="s">
        <v>119</v>
      </c>
      <c r="D132" t="s">
        <v>70</v>
      </c>
    </row>
    <row r="133" spans="1:49" x14ac:dyDescent="0.35">
      <c r="A133" t="s">
        <v>136</v>
      </c>
      <c r="B133" t="s">
        <v>120</v>
      </c>
      <c r="C133" t="s">
        <v>121</v>
      </c>
      <c r="D133" t="s">
        <v>31</v>
      </c>
      <c r="E133" t="s">
        <v>32</v>
      </c>
      <c r="F133" t="s">
        <v>141</v>
      </c>
      <c r="G133" t="s">
        <v>82</v>
      </c>
      <c r="H133" t="s">
        <v>82</v>
      </c>
      <c r="I133" t="s">
        <v>82</v>
      </c>
      <c r="J133" t="s">
        <v>82</v>
      </c>
      <c r="K133">
        <v>124.163</v>
      </c>
      <c r="L133">
        <v>123.264</v>
      </c>
      <c r="M133">
        <v>122.268</v>
      </c>
      <c r="N133">
        <v>121.398</v>
      </c>
      <c r="O133">
        <v>120.21899999999999</v>
      </c>
      <c r="P133">
        <v>119.28100000000001</v>
      </c>
      <c r="Q133">
        <v>118.343</v>
      </c>
      <c r="R133">
        <v>117.5</v>
      </c>
      <c r="S133">
        <v>116.82</v>
      </c>
      <c r="T133">
        <v>116.08799999999999</v>
      </c>
      <c r="U133">
        <v>115.178</v>
      </c>
      <c r="V133">
        <v>114.366</v>
      </c>
      <c r="W133">
        <v>113.58799999999999</v>
      </c>
      <c r="X133">
        <v>112.70099999999999</v>
      </c>
      <c r="Y133">
        <v>111.81100000000001</v>
      </c>
      <c r="Z133">
        <v>110.861</v>
      </c>
      <c r="AA133">
        <v>109.901</v>
      </c>
      <c r="AB133">
        <v>108.556</v>
      </c>
      <c r="AC133">
        <v>107.221</v>
      </c>
      <c r="AD133">
        <v>105.82899999999999</v>
      </c>
      <c r="AE133">
        <v>104.53400000000001</v>
      </c>
      <c r="AF133">
        <v>103.39100000000001</v>
      </c>
      <c r="AG133">
        <v>103.804</v>
      </c>
      <c r="AH133">
        <v>103.274</v>
      </c>
      <c r="AI133">
        <v>102.35599999999999</v>
      </c>
      <c r="AJ133">
        <v>101.64100000000001</v>
      </c>
      <c r="AK133">
        <v>102.413</v>
      </c>
      <c r="AL133">
        <v>98.817999999999998</v>
      </c>
      <c r="AM133">
        <v>97.153000000000006</v>
      </c>
      <c r="AN133">
        <v>43.334000000000003</v>
      </c>
      <c r="AO133">
        <v>59.137999999999998</v>
      </c>
      <c r="AP133">
        <v>66.522000000000006</v>
      </c>
      <c r="AQ133">
        <v>87.587999999999994</v>
      </c>
      <c r="AR133">
        <v>79.430000000000007</v>
      </c>
      <c r="AS133">
        <v>84.058999999999997</v>
      </c>
      <c r="AT133">
        <v>88.126999999999995</v>
      </c>
      <c r="AU133">
        <v>92.972999999999999</v>
      </c>
      <c r="AV133">
        <v>98.355000000000004</v>
      </c>
      <c r="AW133">
        <v>105.119</v>
      </c>
    </row>
    <row r="134" spans="1:49" x14ac:dyDescent="0.35">
      <c r="A134" t="s">
        <v>136</v>
      </c>
      <c r="B134" t="s">
        <v>120</v>
      </c>
      <c r="C134" t="s">
        <v>121</v>
      </c>
      <c r="D134" t="s">
        <v>70</v>
      </c>
      <c r="F134" t="s">
        <v>122</v>
      </c>
      <c r="G134" t="s">
        <v>82</v>
      </c>
      <c r="H134" t="s">
        <v>82</v>
      </c>
      <c r="I134" t="s">
        <v>82</v>
      </c>
      <c r="J134" t="s">
        <v>82</v>
      </c>
      <c r="K134">
        <v>240.96199999999999</v>
      </c>
      <c r="L134">
        <v>228.916</v>
      </c>
      <c r="M134">
        <v>217.28800000000001</v>
      </c>
      <c r="N134">
        <v>205.637</v>
      </c>
      <c r="O134">
        <v>194.542</v>
      </c>
      <c r="P134">
        <v>188.149</v>
      </c>
      <c r="Q134">
        <v>173.84</v>
      </c>
      <c r="R134">
        <v>160.37</v>
      </c>
      <c r="S134">
        <v>157.15199999999999</v>
      </c>
      <c r="T134">
        <v>147.54400000000001</v>
      </c>
      <c r="U134">
        <v>148.90299999999999</v>
      </c>
      <c r="V134">
        <v>131.739</v>
      </c>
      <c r="W134">
        <v>128.447</v>
      </c>
      <c r="X134">
        <v>121.4</v>
      </c>
      <c r="Y134">
        <v>117.322</v>
      </c>
      <c r="Z134">
        <v>107.861</v>
      </c>
      <c r="AA134">
        <v>101.93899999999999</v>
      </c>
      <c r="AB134">
        <v>89.704999999999998</v>
      </c>
      <c r="AC134">
        <v>81.665999999999997</v>
      </c>
      <c r="AD134">
        <v>74.823999999999998</v>
      </c>
      <c r="AE134">
        <v>72.796999999999997</v>
      </c>
      <c r="AF134">
        <v>67.525999999999996</v>
      </c>
      <c r="AG134">
        <v>65.650999999999996</v>
      </c>
      <c r="AH134">
        <v>61.793999999999997</v>
      </c>
      <c r="AI134">
        <v>57.488999999999997</v>
      </c>
      <c r="AJ134">
        <v>53.625</v>
      </c>
      <c r="AK134">
        <v>50.738</v>
      </c>
      <c r="AL134">
        <v>45.741</v>
      </c>
      <c r="AM134">
        <v>42.576000000000001</v>
      </c>
      <c r="AN134">
        <v>17.789000000000001</v>
      </c>
      <c r="AO134">
        <v>23.335999999999999</v>
      </c>
      <c r="AP134">
        <v>25.614000000000001</v>
      </c>
      <c r="AQ134">
        <v>32.128999999999998</v>
      </c>
      <c r="AR134">
        <v>27.619</v>
      </c>
      <c r="AS134">
        <v>27.494</v>
      </c>
      <c r="AT134">
        <v>27.12</v>
      </c>
      <c r="AU134">
        <v>26.896000000000001</v>
      </c>
      <c r="AV134">
        <v>26.751999999999999</v>
      </c>
      <c r="AW134">
        <v>26.884</v>
      </c>
    </row>
    <row r="135" spans="1:49" x14ac:dyDescent="0.35">
      <c r="A135" t="s">
        <v>136</v>
      </c>
      <c r="B135" t="s">
        <v>123</v>
      </c>
      <c r="C135" t="s">
        <v>124</v>
      </c>
      <c r="D135" t="s">
        <v>31</v>
      </c>
      <c r="E135" t="s">
        <v>32</v>
      </c>
      <c r="F135" t="s">
        <v>141</v>
      </c>
      <c r="G135">
        <v>32.067999999999998</v>
      </c>
      <c r="H135">
        <v>36.087000000000003</v>
      </c>
      <c r="I135">
        <v>41.424999999999997</v>
      </c>
      <c r="J135">
        <v>46.622</v>
      </c>
      <c r="K135">
        <v>51.527999999999999</v>
      </c>
      <c r="L135">
        <v>53.847000000000001</v>
      </c>
      <c r="M135">
        <v>56.27</v>
      </c>
      <c r="N135">
        <v>59.034999999999997</v>
      </c>
      <c r="O135">
        <v>61.795999999999999</v>
      </c>
      <c r="P135">
        <v>63.396999999999998</v>
      </c>
      <c r="Q135">
        <v>68.075999999999993</v>
      </c>
      <c r="R135">
        <v>73.268000000000001</v>
      </c>
      <c r="S135">
        <v>74.335999999999999</v>
      </c>
      <c r="T135">
        <v>78.680000000000007</v>
      </c>
      <c r="U135">
        <v>77.350999999999999</v>
      </c>
      <c r="V135">
        <v>86.811999999999998</v>
      </c>
      <c r="W135">
        <v>88.432000000000002</v>
      </c>
      <c r="X135">
        <v>92.834999999999994</v>
      </c>
      <c r="Y135">
        <v>95.302999999999997</v>
      </c>
      <c r="Z135">
        <v>102.782</v>
      </c>
      <c r="AA135">
        <v>107.81100000000001</v>
      </c>
      <c r="AB135">
        <v>121.015</v>
      </c>
      <c r="AC135">
        <v>131.29300000000001</v>
      </c>
      <c r="AD135">
        <v>141.43700000000001</v>
      </c>
      <c r="AE135">
        <v>143.596</v>
      </c>
      <c r="AF135">
        <v>153.11199999999999</v>
      </c>
      <c r="AG135">
        <v>158.114</v>
      </c>
      <c r="AH135">
        <v>167.126</v>
      </c>
      <c r="AI135">
        <v>178.047</v>
      </c>
      <c r="AJ135">
        <v>189.542</v>
      </c>
      <c r="AK135">
        <v>201.84899999999999</v>
      </c>
      <c r="AL135">
        <v>216.03899999999999</v>
      </c>
      <c r="AM135">
        <v>228.18899999999999</v>
      </c>
      <c r="AN135">
        <v>243.60599999999999</v>
      </c>
      <c r="AO135">
        <v>253.42500000000001</v>
      </c>
      <c r="AP135">
        <v>259.71300000000002</v>
      </c>
      <c r="AQ135">
        <v>272.613</v>
      </c>
      <c r="AR135">
        <v>287.59699999999998</v>
      </c>
      <c r="AS135">
        <v>305.73099999999999</v>
      </c>
      <c r="AT135">
        <v>324.95</v>
      </c>
      <c r="AU135">
        <v>345.67899999999997</v>
      </c>
      <c r="AV135">
        <v>367.65300000000002</v>
      </c>
      <c r="AW135">
        <v>391.01100000000002</v>
      </c>
    </row>
    <row r="136" spans="1:49" x14ac:dyDescent="0.35">
      <c r="A136" t="s">
        <v>136</v>
      </c>
      <c r="B136" t="s">
        <v>125</v>
      </c>
      <c r="C136" t="s">
        <v>126</v>
      </c>
      <c r="D136" t="s">
        <v>41</v>
      </c>
      <c r="E136" t="s">
        <v>32</v>
      </c>
      <c r="F136" t="s">
        <v>142</v>
      </c>
      <c r="G136">
        <v>-8.9999999999999993E-3</v>
      </c>
      <c r="H136">
        <v>-8.0000000000000002E-3</v>
      </c>
      <c r="I136">
        <v>-1.0999999999999999E-2</v>
      </c>
      <c r="J136">
        <v>-1.0999999999999999E-2</v>
      </c>
      <c r="K136">
        <v>-3.3000000000000002E-2</v>
      </c>
      <c r="L136">
        <v>-1.4E-2</v>
      </c>
      <c r="M136">
        <v>-1.6E-2</v>
      </c>
      <c r="N136">
        <v>-2.1000000000000001E-2</v>
      </c>
      <c r="O136">
        <v>-7.0000000000000001E-3</v>
      </c>
      <c r="P136">
        <v>5.0000000000000001E-3</v>
      </c>
      <c r="Q136">
        <v>-0.01</v>
      </c>
      <c r="R136">
        <v>-0.01</v>
      </c>
      <c r="S136">
        <v>-1.4E-2</v>
      </c>
      <c r="T136">
        <v>0.01</v>
      </c>
      <c r="U136">
        <v>-7.0000000000000001E-3</v>
      </c>
      <c r="V136">
        <v>-1.9E-2</v>
      </c>
      <c r="W136">
        <v>-2.4E-2</v>
      </c>
      <c r="X136">
        <v>-2.3E-2</v>
      </c>
      <c r="Y136">
        <v>-2.5000000000000001E-2</v>
      </c>
      <c r="Z136">
        <v>-1.0999999999999999E-2</v>
      </c>
      <c r="AA136" t="s">
        <v>39</v>
      </c>
      <c r="AB136">
        <v>7.0000000000000001E-3</v>
      </c>
      <c r="AC136">
        <v>2E-3</v>
      </c>
      <c r="AD136">
        <v>-5.0000000000000001E-3</v>
      </c>
      <c r="AE136">
        <v>-1.4999999999999999E-2</v>
      </c>
      <c r="AF136">
        <v>-2.5000000000000001E-2</v>
      </c>
      <c r="AG136">
        <v>-2.1999999999999999E-2</v>
      </c>
      <c r="AH136">
        <v>-2.3E-2</v>
      </c>
      <c r="AI136">
        <v>-5.6000000000000001E-2</v>
      </c>
      <c r="AJ136">
        <v>-3.6999999999999998E-2</v>
      </c>
      <c r="AK136">
        <v>-1E-3</v>
      </c>
      <c r="AL136">
        <v>-0.03</v>
      </c>
      <c r="AM136">
        <v>-4.2999999999999997E-2</v>
      </c>
      <c r="AN136">
        <v>-5.3999999999999999E-2</v>
      </c>
      <c r="AO136">
        <v>-5.3999999999999999E-2</v>
      </c>
      <c r="AP136">
        <v>3.0000000000000001E-3</v>
      </c>
      <c r="AQ136">
        <v>-6.2E-2</v>
      </c>
      <c r="AR136">
        <v>-6.3E-2</v>
      </c>
      <c r="AS136">
        <v>-8.3000000000000004E-2</v>
      </c>
      <c r="AT136">
        <v>-9.6000000000000002E-2</v>
      </c>
      <c r="AU136">
        <v>-0.106</v>
      </c>
      <c r="AV136">
        <v>-0.114</v>
      </c>
      <c r="AW136">
        <v>-0.122</v>
      </c>
    </row>
    <row r="137" spans="1:49" x14ac:dyDescent="0.35">
      <c r="A137" t="s">
        <v>136</v>
      </c>
      <c r="B137" t="s">
        <v>125</v>
      </c>
      <c r="C137" t="s">
        <v>126</v>
      </c>
      <c r="D137" t="s">
        <v>70</v>
      </c>
      <c r="F137" t="s">
        <v>128</v>
      </c>
      <c r="G137">
        <v>-5.8689999999999998</v>
      </c>
      <c r="H137">
        <v>-6.14</v>
      </c>
      <c r="I137">
        <v>-8.6929999999999996</v>
      </c>
      <c r="J137">
        <v>-9.0350000000000001</v>
      </c>
      <c r="K137">
        <v>-27.745999999999999</v>
      </c>
      <c r="L137">
        <v>-11.895</v>
      </c>
      <c r="M137">
        <v>-9.6539999999999999</v>
      </c>
      <c r="N137">
        <v>-10.877000000000001</v>
      </c>
      <c r="O137">
        <v>-3.141</v>
      </c>
      <c r="P137">
        <v>2.7210000000000001</v>
      </c>
      <c r="Q137">
        <v>-4.1890000000000001</v>
      </c>
      <c r="R137">
        <v>-3.9460000000000002</v>
      </c>
      <c r="S137">
        <v>-5.0529999999999999</v>
      </c>
      <c r="T137">
        <v>3.4420000000000002</v>
      </c>
      <c r="U137">
        <v>-3.8780000000000001</v>
      </c>
      <c r="V137">
        <v>-8.1720000000000006</v>
      </c>
      <c r="W137">
        <v>-10.503</v>
      </c>
      <c r="X137">
        <v>-10.635</v>
      </c>
      <c r="Y137">
        <v>-11.69</v>
      </c>
      <c r="Z137">
        <v>-4.8659999999999997</v>
      </c>
      <c r="AA137">
        <v>-0.23200000000000001</v>
      </c>
      <c r="AB137">
        <v>3.125</v>
      </c>
      <c r="AC137">
        <v>0.65500000000000003</v>
      </c>
      <c r="AD137">
        <v>-1.4059999999999999</v>
      </c>
      <c r="AE137">
        <v>-4.181</v>
      </c>
      <c r="AF137">
        <v>-6.4279999999999999</v>
      </c>
      <c r="AG137">
        <v>-5.5419999999999998</v>
      </c>
      <c r="AH137">
        <v>-4.9509999999999996</v>
      </c>
      <c r="AI137">
        <v>-10.423</v>
      </c>
      <c r="AJ137">
        <v>-6.89</v>
      </c>
      <c r="AK137">
        <v>-0.183</v>
      </c>
      <c r="AL137">
        <v>-4.8730000000000002</v>
      </c>
      <c r="AM137">
        <v>-7.2729999999999997</v>
      </c>
      <c r="AN137">
        <v>-8.2530000000000001</v>
      </c>
      <c r="AO137">
        <v>-7.9509999999999996</v>
      </c>
      <c r="AP137">
        <v>0.442</v>
      </c>
      <c r="AQ137">
        <v>-10.144</v>
      </c>
      <c r="AR137">
        <v>-9.48</v>
      </c>
      <c r="AS137">
        <v>-11.321</v>
      </c>
      <c r="AT137">
        <v>-12.326000000000001</v>
      </c>
      <c r="AU137">
        <v>-12.728999999999999</v>
      </c>
      <c r="AV137">
        <v>-12.901999999999999</v>
      </c>
      <c r="AW137">
        <v>-13.1</v>
      </c>
    </row>
    <row r="138" spans="1:49" x14ac:dyDescent="0.35">
      <c r="A138" t="s">
        <v>143</v>
      </c>
      <c r="B138" t="s">
        <v>29</v>
      </c>
      <c r="C138" t="s">
        <v>30</v>
      </c>
      <c r="D138" t="s">
        <v>31</v>
      </c>
      <c r="E138" t="s">
        <v>32</v>
      </c>
      <c r="F138" t="s">
        <v>144</v>
      </c>
      <c r="G138" s="27">
        <v>8372.44</v>
      </c>
      <c r="H138" s="27">
        <v>8451.52</v>
      </c>
      <c r="I138" s="27">
        <v>8413.11</v>
      </c>
      <c r="J138" s="27">
        <v>8531.73</v>
      </c>
      <c r="K138" s="27">
        <v>8945.0499999999993</v>
      </c>
      <c r="L138" s="27">
        <v>8986.57</v>
      </c>
      <c r="M138" s="27">
        <v>9410.76</v>
      </c>
      <c r="N138" s="27">
        <v>9662.1299999999992</v>
      </c>
      <c r="O138" s="27">
        <v>9707.02</v>
      </c>
      <c r="P138" s="27">
        <v>9584.7000000000007</v>
      </c>
      <c r="Q138" s="27">
        <v>8955.15</v>
      </c>
      <c r="R138" s="27">
        <v>8198.84</v>
      </c>
      <c r="S138" s="27">
        <v>7341.1</v>
      </c>
      <c r="T138" s="27">
        <v>6352.38</v>
      </c>
      <c r="U138" s="27">
        <v>5962.1</v>
      </c>
      <c r="V138" s="27">
        <v>6126.79</v>
      </c>
      <c r="W138" s="27">
        <v>6008.25</v>
      </c>
      <c r="X138" s="27">
        <v>5537.21</v>
      </c>
      <c r="Y138" s="27">
        <v>5322.64</v>
      </c>
      <c r="Z138" s="27">
        <v>5120.25</v>
      </c>
      <c r="AA138" s="27">
        <v>4703.67</v>
      </c>
      <c r="AB138" s="27">
        <v>4604.88</v>
      </c>
      <c r="AC138" s="27">
        <v>4740.62</v>
      </c>
      <c r="AD138" s="27">
        <v>5005.05</v>
      </c>
      <c r="AE138" s="27">
        <v>5342.31</v>
      </c>
      <c r="AF138" s="27">
        <v>5670.07</v>
      </c>
      <c r="AG138" s="27">
        <v>5971.77</v>
      </c>
      <c r="AH138" s="27">
        <v>6345.37</v>
      </c>
      <c r="AI138" s="27">
        <v>6740.67</v>
      </c>
      <c r="AJ138" s="27">
        <v>6933.09</v>
      </c>
      <c r="AK138" s="27">
        <v>7425.89</v>
      </c>
      <c r="AL138" s="27">
        <v>7936.35</v>
      </c>
      <c r="AM138" s="27">
        <v>8498.84</v>
      </c>
      <c r="AN138" s="27">
        <v>9219.7099999999991</v>
      </c>
      <c r="AO138" s="27">
        <v>10092.83</v>
      </c>
      <c r="AP138" s="27">
        <v>10790.89</v>
      </c>
      <c r="AQ138" s="27">
        <v>11049.9</v>
      </c>
      <c r="AR138" s="27">
        <v>11356.49</v>
      </c>
      <c r="AS138" s="27">
        <v>11695.76</v>
      </c>
      <c r="AT138" s="27">
        <v>12078.59</v>
      </c>
      <c r="AU138" s="27">
        <v>12528.57</v>
      </c>
      <c r="AV138" s="27">
        <v>13068.3</v>
      </c>
      <c r="AW138" s="27">
        <v>13682.72</v>
      </c>
    </row>
    <row r="139" spans="1:49" x14ac:dyDescent="0.35">
      <c r="A139" t="s">
        <v>143</v>
      </c>
      <c r="B139" t="s">
        <v>29</v>
      </c>
      <c r="C139" t="s">
        <v>34</v>
      </c>
      <c r="D139" t="s">
        <v>35</v>
      </c>
      <c r="F139" t="s">
        <v>36</v>
      </c>
      <c r="G139">
        <v>2.4049999999999998</v>
      </c>
      <c r="H139">
        <v>0.94499999999999995</v>
      </c>
      <c r="I139">
        <v>-0.45400000000000001</v>
      </c>
      <c r="J139">
        <v>1.41</v>
      </c>
      <c r="K139">
        <v>4.8440000000000003</v>
      </c>
      <c r="L139">
        <v>0.46400000000000002</v>
      </c>
      <c r="M139">
        <v>4.72</v>
      </c>
      <c r="N139">
        <v>2.6709999999999998</v>
      </c>
      <c r="O139">
        <v>0.46500000000000002</v>
      </c>
      <c r="P139">
        <v>-1.26</v>
      </c>
      <c r="Q139">
        <v>-6.5679999999999996</v>
      </c>
      <c r="R139">
        <v>-8.4450000000000003</v>
      </c>
      <c r="S139">
        <v>-10.462</v>
      </c>
      <c r="T139">
        <v>-13.468</v>
      </c>
      <c r="U139">
        <v>-6.1440000000000001</v>
      </c>
      <c r="V139">
        <v>2.762</v>
      </c>
      <c r="W139">
        <v>-1.9350000000000001</v>
      </c>
      <c r="X139">
        <v>-7.84</v>
      </c>
      <c r="Y139">
        <v>-3.875</v>
      </c>
      <c r="Z139">
        <v>-3.802</v>
      </c>
      <c r="AA139">
        <v>-8.1359999999999992</v>
      </c>
      <c r="AB139">
        <v>-2.1</v>
      </c>
      <c r="AC139">
        <v>2.948</v>
      </c>
      <c r="AD139">
        <v>5.5780000000000003</v>
      </c>
      <c r="AE139">
        <v>6.7380000000000004</v>
      </c>
      <c r="AF139">
        <v>6.1349999999999998</v>
      </c>
      <c r="AG139">
        <v>5.3209999999999997</v>
      </c>
      <c r="AH139">
        <v>6.2560000000000002</v>
      </c>
      <c r="AI139">
        <v>6.23</v>
      </c>
      <c r="AJ139">
        <v>2.855</v>
      </c>
      <c r="AK139">
        <v>7.1079999999999997</v>
      </c>
      <c r="AL139">
        <v>6.8739999999999997</v>
      </c>
      <c r="AM139">
        <v>7.0880000000000001</v>
      </c>
      <c r="AN139">
        <v>8.4819999999999993</v>
      </c>
      <c r="AO139">
        <v>9.4700000000000006</v>
      </c>
      <c r="AP139">
        <v>6.9160000000000004</v>
      </c>
      <c r="AQ139">
        <v>2.4</v>
      </c>
      <c r="AR139">
        <v>2.7749999999999999</v>
      </c>
      <c r="AS139">
        <v>2.9870000000000001</v>
      </c>
      <c r="AT139">
        <v>3.2730000000000001</v>
      </c>
      <c r="AU139">
        <v>3.7250000000000001</v>
      </c>
      <c r="AV139">
        <v>4.3079999999999998</v>
      </c>
      <c r="AW139">
        <v>4.702</v>
      </c>
    </row>
    <row r="140" spans="1:49" x14ac:dyDescent="0.35">
      <c r="A140" t="s">
        <v>143</v>
      </c>
      <c r="B140" t="s">
        <v>37</v>
      </c>
      <c r="C140" t="s">
        <v>38</v>
      </c>
      <c r="D140" t="s">
        <v>31</v>
      </c>
      <c r="E140" t="s">
        <v>32</v>
      </c>
      <c r="F140" t="s">
        <v>144</v>
      </c>
      <c r="G140" t="s">
        <v>39</v>
      </c>
      <c r="H140" t="s">
        <v>39</v>
      </c>
      <c r="I140" t="s">
        <v>39</v>
      </c>
      <c r="J140" t="s">
        <v>39</v>
      </c>
      <c r="K140" t="s">
        <v>39</v>
      </c>
      <c r="L140" t="s">
        <v>39</v>
      </c>
      <c r="M140" t="s">
        <v>39</v>
      </c>
      <c r="N140" t="s">
        <v>39</v>
      </c>
      <c r="O140" t="s">
        <v>39</v>
      </c>
      <c r="P140" t="s">
        <v>39</v>
      </c>
      <c r="Q140" t="s">
        <v>39</v>
      </c>
      <c r="R140" t="s">
        <v>39</v>
      </c>
      <c r="S140" t="s">
        <v>39</v>
      </c>
      <c r="T140">
        <v>1E-3</v>
      </c>
      <c r="U140">
        <v>0.307</v>
      </c>
      <c r="V140">
        <v>1.758</v>
      </c>
      <c r="W140">
        <v>12.84</v>
      </c>
      <c r="X140">
        <v>34.582000000000001</v>
      </c>
      <c r="Y140">
        <v>44.286999999999999</v>
      </c>
      <c r="Z140">
        <v>229.768</v>
      </c>
      <c r="AA140" s="27">
        <v>1317.08</v>
      </c>
      <c r="AB140" s="27">
        <v>2231.46</v>
      </c>
      <c r="AC140" s="27">
        <v>3025.87</v>
      </c>
      <c r="AD140" s="27">
        <v>3623.25</v>
      </c>
      <c r="AE140" s="27">
        <v>4113.63</v>
      </c>
      <c r="AF140" s="27">
        <v>5670.07</v>
      </c>
      <c r="AG140" s="27">
        <v>6694.74</v>
      </c>
      <c r="AH140" s="27">
        <v>8456.11</v>
      </c>
      <c r="AI140" s="27">
        <v>10741.83</v>
      </c>
      <c r="AJ140" s="27">
        <v>14788.94</v>
      </c>
      <c r="AK140" s="27">
        <v>18698.93</v>
      </c>
      <c r="AL140" s="27">
        <v>22598.15</v>
      </c>
      <c r="AM140" s="27">
        <v>25343.52</v>
      </c>
      <c r="AN140" s="27">
        <v>30051.18</v>
      </c>
      <c r="AO140" s="27">
        <v>33224.019999999997</v>
      </c>
      <c r="AP140" s="27">
        <v>35591.64</v>
      </c>
      <c r="AQ140" s="27">
        <v>42160.85</v>
      </c>
      <c r="AR140" s="27">
        <v>61388.41</v>
      </c>
      <c r="AS140" s="27">
        <v>91040.15</v>
      </c>
      <c r="AT140" s="27">
        <v>126143.66</v>
      </c>
      <c r="AU140" s="27">
        <v>162700.53</v>
      </c>
      <c r="AV140" s="27">
        <v>194394.71</v>
      </c>
      <c r="AW140" s="27">
        <v>223887.79</v>
      </c>
    </row>
    <row r="141" spans="1:49" x14ac:dyDescent="0.35">
      <c r="A141" t="s">
        <v>143</v>
      </c>
      <c r="B141" t="s">
        <v>37</v>
      </c>
      <c r="C141" t="s">
        <v>40</v>
      </c>
      <c r="D141" t="s">
        <v>41</v>
      </c>
      <c r="E141" t="s">
        <v>32</v>
      </c>
      <c r="F141" t="s">
        <v>42</v>
      </c>
      <c r="G141">
        <v>68.605999999999995</v>
      </c>
      <c r="H141">
        <v>59.725999999999999</v>
      </c>
      <c r="I141">
        <v>64.938999999999993</v>
      </c>
      <c r="J141">
        <v>52.378</v>
      </c>
      <c r="K141">
        <v>34.951000000000001</v>
      </c>
      <c r="L141">
        <v>31.943000000000001</v>
      </c>
      <c r="M141">
        <v>35.840000000000003</v>
      </c>
      <c r="N141">
        <v>33.932000000000002</v>
      </c>
      <c r="O141">
        <v>39.314</v>
      </c>
      <c r="P141">
        <v>40.006</v>
      </c>
      <c r="Q141">
        <v>41.448</v>
      </c>
      <c r="R141">
        <v>40.25</v>
      </c>
      <c r="S141">
        <v>36.332999999999998</v>
      </c>
      <c r="T141">
        <v>47.45</v>
      </c>
      <c r="U141">
        <v>25.745999999999999</v>
      </c>
      <c r="V141">
        <v>25.021000000000001</v>
      </c>
      <c r="W141">
        <v>32.098999999999997</v>
      </c>
      <c r="X141">
        <v>28.818999999999999</v>
      </c>
      <c r="Y141">
        <v>21.088999999999999</v>
      </c>
      <c r="Z141">
        <v>19.146999999999998</v>
      </c>
      <c r="AA141">
        <v>19.077000000000002</v>
      </c>
      <c r="AB141">
        <v>8.173</v>
      </c>
      <c r="AC141">
        <v>8.7189999999999994</v>
      </c>
      <c r="AD141">
        <v>8.9540000000000006</v>
      </c>
      <c r="AE141">
        <v>10.340999999999999</v>
      </c>
      <c r="AF141">
        <v>11.951000000000001</v>
      </c>
      <c r="AG141">
        <v>14.295999999999999</v>
      </c>
      <c r="AH141">
        <v>16.364000000000001</v>
      </c>
      <c r="AI141">
        <v>19.129000000000001</v>
      </c>
      <c r="AJ141">
        <v>18.315000000000001</v>
      </c>
      <c r="AK141">
        <v>20.640999999999998</v>
      </c>
      <c r="AL141">
        <v>24.574999999999999</v>
      </c>
      <c r="AM141">
        <v>27.565999999999999</v>
      </c>
      <c r="AN141">
        <v>32.676000000000002</v>
      </c>
      <c r="AO141">
        <v>35.917999999999999</v>
      </c>
      <c r="AP141">
        <v>38.402000000000001</v>
      </c>
      <c r="AQ141">
        <v>39.323999999999998</v>
      </c>
      <c r="AR141">
        <v>40.414999999999999</v>
      </c>
      <c r="AS141">
        <v>41.622</v>
      </c>
      <c r="AT141">
        <v>42.984000000000002</v>
      </c>
      <c r="AU141">
        <v>44.585999999999999</v>
      </c>
      <c r="AV141">
        <v>46.506999999999998</v>
      </c>
      <c r="AW141">
        <v>48.692999999999998</v>
      </c>
    </row>
    <row r="142" spans="1:49" x14ac:dyDescent="0.35">
      <c r="A142" t="s">
        <v>143</v>
      </c>
      <c r="B142" t="s">
        <v>37</v>
      </c>
      <c r="C142" t="s">
        <v>43</v>
      </c>
      <c r="D142" t="s">
        <v>44</v>
      </c>
      <c r="E142" t="s">
        <v>32</v>
      </c>
      <c r="F142" t="s">
        <v>42</v>
      </c>
      <c r="G142">
        <v>19.622</v>
      </c>
      <c r="H142">
        <v>21.657</v>
      </c>
      <c r="I142">
        <v>22.896000000000001</v>
      </c>
      <c r="J142">
        <v>24.135999999999999</v>
      </c>
      <c r="K142">
        <v>26.202999999999999</v>
      </c>
      <c r="L142">
        <v>27.167000000000002</v>
      </c>
      <c r="M142">
        <v>29.023</v>
      </c>
      <c r="N142">
        <v>30.559000000000001</v>
      </c>
      <c r="O142">
        <v>31.774999999999999</v>
      </c>
      <c r="P142">
        <v>32.594999999999999</v>
      </c>
      <c r="Q142">
        <v>31.581</v>
      </c>
      <c r="R142">
        <v>29.876000000000001</v>
      </c>
      <c r="S142">
        <v>27.36</v>
      </c>
      <c r="T142">
        <v>24.238</v>
      </c>
      <c r="U142">
        <v>23.233000000000001</v>
      </c>
      <c r="V142">
        <v>24.373000000000001</v>
      </c>
      <c r="W142">
        <v>24.338000000000001</v>
      </c>
      <c r="X142">
        <v>22.814</v>
      </c>
      <c r="Y142">
        <v>22.167999999999999</v>
      </c>
      <c r="Z142">
        <v>21.651</v>
      </c>
      <c r="AA142">
        <v>20.341999999999999</v>
      </c>
      <c r="AB142">
        <v>20.369</v>
      </c>
      <c r="AC142">
        <v>21.291</v>
      </c>
      <c r="AD142">
        <v>22.927</v>
      </c>
      <c r="AE142">
        <v>25.145</v>
      </c>
      <c r="AF142">
        <v>27.545999999999999</v>
      </c>
      <c r="AG142">
        <v>29.902999999999999</v>
      </c>
      <c r="AH142">
        <v>32.619</v>
      </c>
      <c r="AI142">
        <v>35.331000000000003</v>
      </c>
      <c r="AJ142">
        <v>36.616</v>
      </c>
      <c r="AK142">
        <v>39.698</v>
      </c>
      <c r="AL142">
        <v>43.302</v>
      </c>
      <c r="AM142">
        <v>47.225999999999999</v>
      </c>
      <c r="AN142">
        <v>52.058999999999997</v>
      </c>
      <c r="AO142">
        <v>58.011000000000003</v>
      </c>
      <c r="AP142">
        <v>62.695999999999998</v>
      </c>
      <c r="AQ142">
        <v>65.02</v>
      </c>
      <c r="AR142">
        <v>67.988</v>
      </c>
      <c r="AS142">
        <v>71.379000000000005</v>
      </c>
      <c r="AT142">
        <v>75.287999999999997</v>
      </c>
      <c r="AU142">
        <v>79.734999999999999</v>
      </c>
      <c r="AV142">
        <v>84.897999999999996</v>
      </c>
      <c r="AW142">
        <v>90.6</v>
      </c>
    </row>
    <row r="143" spans="1:49" x14ac:dyDescent="0.35">
      <c r="A143" t="s">
        <v>143</v>
      </c>
      <c r="B143" t="s">
        <v>45</v>
      </c>
      <c r="C143" t="s">
        <v>46</v>
      </c>
      <c r="D143" t="s">
        <v>47</v>
      </c>
      <c r="F143" t="s">
        <v>48</v>
      </c>
      <c r="G143" t="s">
        <v>39</v>
      </c>
      <c r="H143" t="s">
        <v>39</v>
      </c>
      <c r="I143" t="s">
        <v>39</v>
      </c>
      <c r="J143" t="s">
        <v>39</v>
      </c>
      <c r="K143" t="s">
        <v>39</v>
      </c>
      <c r="L143" t="s">
        <v>39</v>
      </c>
      <c r="M143" t="s">
        <v>39</v>
      </c>
      <c r="N143" t="s">
        <v>39</v>
      </c>
      <c r="O143" t="s">
        <v>39</v>
      </c>
      <c r="P143" t="s">
        <v>39</v>
      </c>
      <c r="Q143" t="s">
        <v>39</v>
      </c>
      <c r="R143" t="s">
        <v>39</v>
      </c>
      <c r="S143" t="s">
        <v>39</v>
      </c>
      <c r="T143" t="s">
        <v>39</v>
      </c>
      <c r="U143">
        <v>5.0000000000000001E-3</v>
      </c>
      <c r="V143">
        <v>2.9000000000000001E-2</v>
      </c>
      <c r="W143">
        <v>0.214</v>
      </c>
      <c r="X143">
        <v>0.625</v>
      </c>
      <c r="Y143">
        <v>0.83199999999999996</v>
      </c>
      <c r="Z143">
        <v>4.4870000000000001</v>
      </c>
      <c r="AA143">
        <v>28.001000000000001</v>
      </c>
      <c r="AB143">
        <v>48.457999999999998</v>
      </c>
      <c r="AC143">
        <v>63.829000000000001</v>
      </c>
      <c r="AD143">
        <v>72.391999999999996</v>
      </c>
      <c r="AE143">
        <v>77.001000000000005</v>
      </c>
      <c r="AF143">
        <v>100</v>
      </c>
      <c r="AG143">
        <v>112.10599999999999</v>
      </c>
      <c r="AH143">
        <v>133.26400000000001</v>
      </c>
      <c r="AI143">
        <v>159.35900000000001</v>
      </c>
      <c r="AJ143">
        <v>213.31</v>
      </c>
      <c r="AK143">
        <v>251.80699999999999</v>
      </c>
      <c r="AL143">
        <v>284.74200000000002</v>
      </c>
      <c r="AM143">
        <v>298.2</v>
      </c>
      <c r="AN143">
        <v>325.94499999999999</v>
      </c>
      <c r="AO143">
        <v>329.18400000000003</v>
      </c>
      <c r="AP143">
        <v>329.83</v>
      </c>
      <c r="AQ143">
        <v>381.55</v>
      </c>
      <c r="AR143">
        <v>540.55799999999999</v>
      </c>
      <c r="AS143">
        <v>778.40300000000002</v>
      </c>
      <c r="AT143" s="27">
        <v>1044.3599999999999</v>
      </c>
      <c r="AU143" s="27">
        <v>1298.6400000000001</v>
      </c>
      <c r="AV143" s="27">
        <v>1487.53</v>
      </c>
      <c r="AW143" s="27">
        <v>1636.28</v>
      </c>
    </row>
    <row r="144" spans="1:49" x14ac:dyDescent="0.35">
      <c r="A144" t="s">
        <v>143</v>
      </c>
      <c r="B144" t="s">
        <v>49</v>
      </c>
      <c r="C144" t="s">
        <v>50</v>
      </c>
      <c r="D144" t="s">
        <v>31</v>
      </c>
      <c r="E144" t="s">
        <v>26</v>
      </c>
      <c r="F144" t="s">
        <v>51</v>
      </c>
      <c r="G144" s="27">
        <v>291604.84999999998</v>
      </c>
      <c r="H144" s="27">
        <v>284955.64</v>
      </c>
      <c r="I144" s="27">
        <v>274598.8</v>
      </c>
      <c r="J144" s="27">
        <v>269574.58</v>
      </c>
      <c r="K144" s="27">
        <v>273605.03999999998</v>
      </c>
      <c r="L144" s="27">
        <v>266093.96999999997</v>
      </c>
      <c r="M144" s="27">
        <v>269752.51</v>
      </c>
      <c r="N144" s="27">
        <v>268110.28000000003</v>
      </c>
      <c r="O144" s="27">
        <v>260751.07</v>
      </c>
      <c r="P144" s="27">
        <v>249240.38</v>
      </c>
      <c r="Q144" s="27">
        <v>225430.28</v>
      </c>
      <c r="R144" s="27">
        <v>199798.24</v>
      </c>
      <c r="S144" s="27">
        <v>173181</v>
      </c>
      <c r="T144" s="27">
        <v>145069.19</v>
      </c>
      <c r="U144" s="27">
        <v>131806.57999999999</v>
      </c>
      <c r="V144" s="27">
        <v>131120.64000000001</v>
      </c>
      <c r="W144" s="27">
        <v>125402.97</v>
      </c>
      <c r="X144" s="27">
        <v>113180.59</v>
      </c>
      <c r="Y144" s="27">
        <v>106661.49</v>
      </c>
      <c r="Z144" s="27">
        <v>100593.87</v>
      </c>
      <c r="AA144" s="27">
        <v>89718.11</v>
      </c>
      <c r="AB144" s="27">
        <v>85275.61</v>
      </c>
      <c r="AC144" s="27">
        <v>85232.36</v>
      </c>
      <c r="AD144" s="27">
        <v>87365.51</v>
      </c>
      <c r="AE144" s="27">
        <v>90536.43</v>
      </c>
      <c r="AF144" s="27">
        <v>93292.21</v>
      </c>
      <c r="AG144" s="27">
        <v>95394.47</v>
      </c>
      <c r="AH144" s="27">
        <v>98410.13</v>
      </c>
      <c r="AI144" s="27">
        <v>101495.96</v>
      </c>
      <c r="AJ144" s="27">
        <v>101352.65</v>
      </c>
      <c r="AK144" s="27">
        <v>105394.93</v>
      </c>
      <c r="AL144" s="27">
        <v>109359.01</v>
      </c>
      <c r="AM144" s="27">
        <v>113698.94</v>
      </c>
      <c r="AN144" s="27">
        <v>119750.32</v>
      </c>
      <c r="AO144" s="27">
        <v>127272.76</v>
      </c>
      <c r="AP144" s="27">
        <v>132112.03</v>
      </c>
      <c r="AQ144" s="27">
        <v>131342.78</v>
      </c>
      <c r="AR144" s="27">
        <v>131055.37</v>
      </c>
      <c r="AS144" s="27">
        <v>131039.33</v>
      </c>
      <c r="AT144" s="27">
        <v>131386.96</v>
      </c>
      <c r="AU144" s="27">
        <v>132312.35</v>
      </c>
      <c r="AV144" s="27">
        <v>133992.59</v>
      </c>
      <c r="AW144" s="27">
        <v>136206.19</v>
      </c>
    </row>
    <row r="145" spans="1:49" x14ac:dyDescent="0.35">
      <c r="A145" t="s">
        <v>143</v>
      </c>
      <c r="B145" t="s">
        <v>49</v>
      </c>
      <c r="C145" t="s">
        <v>52</v>
      </c>
      <c r="D145" t="s">
        <v>53</v>
      </c>
      <c r="E145" t="s">
        <v>26</v>
      </c>
      <c r="F145" t="s">
        <v>51</v>
      </c>
      <c r="G145" s="27">
        <v>1591.05</v>
      </c>
      <c r="H145" s="27">
        <v>1554.77</v>
      </c>
      <c r="I145" s="27">
        <v>1498.27</v>
      </c>
      <c r="J145" s="27">
        <v>1470.85</v>
      </c>
      <c r="K145" s="27">
        <v>1492.84</v>
      </c>
      <c r="L145" s="27">
        <v>1451.86</v>
      </c>
      <c r="M145" s="27">
        <v>1471.82</v>
      </c>
      <c r="N145" s="27">
        <v>1462.86</v>
      </c>
      <c r="O145" s="27">
        <v>1422.71</v>
      </c>
      <c r="P145" s="27">
        <v>1359.91</v>
      </c>
      <c r="Q145" s="27">
        <v>1229.99</v>
      </c>
      <c r="R145" s="27">
        <v>1090.1400000000001</v>
      </c>
      <c r="S145">
        <v>944.91</v>
      </c>
      <c r="T145">
        <v>791.52599999999995</v>
      </c>
      <c r="U145">
        <v>719.16300000000001</v>
      </c>
      <c r="V145">
        <v>715.42</v>
      </c>
      <c r="W145">
        <v>684.22299999999996</v>
      </c>
      <c r="X145">
        <v>617.53599999999994</v>
      </c>
      <c r="Y145">
        <v>581.96600000000001</v>
      </c>
      <c r="Z145">
        <v>548.86</v>
      </c>
      <c r="AA145">
        <v>489.52</v>
      </c>
      <c r="AB145">
        <v>465.28100000000001</v>
      </c>
      <c r="AC145">
        <v>465.04500000000002</v>
      </c>
      <c r="AD145">
        <v>476.68400000000003</v>
      </c>
      <c r="AE145">
        <v>493.98500000000001</v>
      </c>
      <c r="AF145">
        <v>509.02100000000002</v>
      </c>
      <c r="AG145">
        <v>520.49099999999999</v>
      </c>
      <c r="AH145">
        <v>536.94500000000005</v>
      </c>
      <c r="AI145">
        <v>553.78200000000004</v>
      </c>
      <c r="AJ145">
        <v>553</v>
      </c>
      <c r="AK145">
        <v>575.05600000000004</v>
      </c>
      <c r="AL145">
        <v>596.68399999999997</v>
      </c>
      <c r="AM145">
        <v>620.36400000000003</v>
      </c>
      <c r="AN145">
        <v>653.38099999999997</v>
      </c>
      <c r="AO145">
        <v>694.42499999999995</v>
      </c>
      <c r="AP145">
        <v>720.82899999999995</v>
      </c>
      <c r="AQ145">
        <v>716.63199999999995</v>
      </c>
      <c r="AR145">
        <v>715.06399999999996</v>
      </c>
      <c r="AS145">
        <v>714.97699999999998</v>
      </c>
      <c r="AT145">
        <v>716.87300000000005</v>
      </c>
      <c r="AU145">
        <v>721.92200000000003</v>
      </c>
      <c r="AV145">
        <v>731.09</v>
      </c>
      <c r="AW145">
        <v>743.16800000000001</v>
      </c>
    </row>
    <row r="146" spans="1:49" x14ac:dyDescent="0.35">
      <c r="A146" t="s">
        <v>143</v>
      </c>
      <c r="B146" t="s">
        <v>54</v>
      </c>
      <c r="C146" t="s">
        <v>55</v>
      </c>
      <c r="D146" t="s">
        <v>31</v>
      </c>
      <c r="E146" t="s">
        <v>26</v>
      </c>
      <c r="F146" t="s">
        <v>56</v>
      </c>
      <c r="G146" t="s">
        <v>39</v>
      </c>
      <c r="H146" t="s">
        <v>39</v>
      </c>
      <c r="I146" t="s">
        <v>39</v>
      </c>
      <c r="J146" t="s">
        <v>39</v>
      </c>
      <c r="K146" t="s">
        <v>39</v>
      </c>
      <c r="L146" t="s">
        <v>39</v>
      </c>
      <c r="M146" t="s">
        <v>39</v>
      </c>
      <c r="N146" t="s">
        <v>39</v>
      </c>
      <c r="O146" t="s">
        <v>39</v>
      </c>
      <c r="P146" t="s">
        <v>39</v>
      </c>
      <c r="Q146" t="s">
        <v>39</v>
      </c>
      <c r="R146" t="s">
        <v>39</v>
      </c>
      <c r="S146">
        <v>2E-3</v>
      </c>
      <c r="T146">
        <v>2.7E-2</v>
      </c>
      <c r="U146">
        <v>6.7969999999999997</v>
      </c>
      <c r="V146">
        <v>37.613999999999997</v>
      </c>
      <c r="W146">
        <v>267.98899999999998</v>
      </c>
      <c r="X146">
        <v>706.86099999999999</v>
      </c>
      <c r="Y146">
        <v>887.48500000000001</v>
      </c>
      <c r="Z146" s="27">
        <v>4514.09</v>
      </c>
      <c r="AA146" s="27">
        <v>25121.99</v>
      </c>
      <c r="AB146" s="27">
        <v>41323.24</v>
      </c>
      <c r="AC146" s="27">
        <v>54402.58</v>
      </c>
      <c r="AD146" s="27">
        <v>63245.58</v>
      </c>
      <c r="AE146" s="27">
        <v>69714.02</v>
      </c>
      <c r="AF146" s="27">
        <v>93292.21</v>
      </c>
      <c r="AG146" s="27">
        <v>106943.35</v>
      </c>
      <c r="AH146" s="27">
        <v>131145.53</v>
      </c>
      <c r="AI146" s="27">
        <v>161742.44</v>
      </c>
      <c r="AJ146" s="27">
        <v>216194.86</v>
      </c>
      <c r="AK146" s="27">
        <v>265392.03000000003</v>
      </c>
      <c r="AL146" s="27">
        <v>311391.52</v>
      </c>
      <c r="AM146" s="27">
        <v>339049.92</v>
      </c>
      <c r="AN146" s="27">
        <v>390320.23</v>
      </c>
      <c r="AO146" s="27">
        <v>418961.84</v>
      </c>
      <c r="AP146" s="27">
        <v>435745.64</v>
      </c>
      <c r="AQ146" s="27">
        <v>501137.9</v>
      </c>
      <c r="AR146" s="27">
        <v>708430.13</v>
      </c>
      <c r="AS146" s="27">
        <v>1020014.58</v>
      </c>
      <c r="AT146" s="27">
        <v>1372150.08</v>
      </c>
      <c r="AU146" s="27">
        <v>1718256.24</v>
      </c>
      <c r="AV146" s="27">
        <v>1993178.44</v>
      </c>
      <c r="AW146" s="27">
        <v>2228716.98</v>
      </c>
    </row>
    <row r="147" spans="1:49" x14ac:dyDescent="0.35">
      <c r="A147" t="s">
        <v>143</v>
      </c>
      <c r="B147" t="s">
        <v>54</v>
      </c>
      <c r="C147" t="s">
        <v>57</v>
      </c>
      <c r="D147" t="s">
        <v>41</v>
      </c>
      <c r="E147" t="s">
        <v>26</v>
      </c>
      <c r="F147" t="s">
        <v>56</v>
      </c>
      <c r="G147" s="27">
        <v>2389.5</v>
      </c>
      <c r="H147" s="27">
        <v>2013.74</v>
      </c>
      <c r="I147" s="27">
        <v>2119.59</v>
      </c>
      <c r="J147" s="27">
        <v>1654.97</v>
      </c>
      <c r="K147" s="27">
        <v>1069.07</v>
      </c>
      <c r="L147">
        <v>945.84</v>
      </c>
      <c r="M147" s="27">
        <v>1027.32</v>
      </c>
      <c r="N147">
        <v>941.553</v>
      </c>
      <c r="O147" s="27">
        <v>1056.05</v>
      </c>
      <c r="P147" s="27">
        <v>1040.31</v>
      </c>
      <c r="Q147" s="27">
        <v>1043.3900000000001</v>
      </c>
      <c r="R147">
        <v>980.85699999999997</v>
      </c>
      <c r="S147">
        <v>857.12300000000005</v>
      </c>
      <c r="T147" s="27">
        <v>1083.6199999999999</v>
      </c>
      <c r="U147">
        <v>569.17999999999995</v>
      </c>
      <c r="V147">
        <v>535.47299999999996</v>
      </c>
      <c r="W147">
        <v>669.97199999999998</v>
      </c>
      <c r="X147">
        <v>589.05100000000004</v>
      </c>
      <c r="Y147">
        <v>422.61200000000002</v>
      </c>
      <c r="Z147">
        <v>376.17399999999998</v>
      </c>
      <c r="AA147">
        <v>363.86700000000002</v>
      </c>
      <c r="AB147">
        <v>151.345</v>
      </c>
      <c r="AC147">
        <v>156.76400000000001</v>
      </c>
      <c r="AD147">
        <v>156.29499999999999</v>
      </c>
      <c r="AE147">
        <v>175.255</v>
      </c>
      <c r="AF147">
        <v>196.63499999999999</v>
      </c>
      <c r="AG147">
        <v>228.375</v>
      </c>
      <c r="AH147">
        <v>253.78899999999999</v>
      </c>
      <c r="AI147">
        <v>288.03300000000002</v>
      </c>
      <c r="AJ147">
        <v>267.74400000000003</v>
      </c>
      <c r="AK147">
        <v>292.95499999999998</v>
      </c>
      <c r="AL147">
        <v>338.62700000000001</v>
      </c>
      <c r="AM147">
        <v>368.78500000000003</v>
      </c>
      <c r="AN147">
        <v>424.41800000000001</v>
      </c>
      <c r="AO147">
        <v>452.93</v>
      </c>
      <c r="AP147">
        <v>470.15100000000001</v>
      </c>
      <c r="AQ147">
        <v>467.41399999999999</v>
      </c>
      <c r="AR147">
        <v>466.39100000000002</v>
      </c>
      <c r="AS147">
        <v>466.334</v>
      </c>
      <c r="AT147">
        <v>467.57100000000003</v>
      </c>
      <c r="AU147">
        <v>470.86399999999998</v>
      </c>
      <c r="AV147">
        <v>476.84399999999999</v>
      </c>
      <c r="AW147">
        <v>484.721</v>
      </c>
    </row>
    <row r="148" spans="1:49" x14ac:dyDescent="0.35">
      <c r="A148" t="s">
        <v>143</v>
      </c>
      <c r="B148" t="s">
        <v>54</v>
      </c>
      <c r="C148" t="s">
        <v>58</v>
      </c>
      <c r="D148" t="s">
        <v>44</v>
      </c>
      <c r="E148" t="s">
        <v>26</v>
      </c>
      <c r="F148" t="s">
        <v>56</v>
      </c>
      <c r="G148">
        <v>683.428</v>
      </c>
      <c r="H148">
        <v>730.20299999999997</v>
      </c>
      <c r="I148">
        <v>747.322</v>
      </c>
      <c r="J148">
        <v>762.60900000000004</v>
      </c>
      <c r="K148">
        <v>801.48</v>
      </c>
      <c r="L148">
        <v>804.42100000000005</v>
      </c>
      <c r="M148">
        <v>831.923</v>
      </c>
      <c r="N148">
        <v>847.96199999999999</v>
      </c>
      <c r="O148">
        <v>853.55499999999995</v>
      </c>
      <c r="P148">
        <v>847.601</v>
      </c>
      <c r="Q148">
        <v>794.98500000000001</v>
      </c>
      <c r="R148">
        <v>728.04499999999996</v>
      </c>
      <c r="S148">
        <v>645.44100000000003</v>
      </c>
      <c r="T148">
        <v>553.53099999999995</v>
      </c>
      <c r="U148">
        <v>513.63</v>
      </c>
      <c r="V148">
        <v>521.61300000000006</v>
      </c>
      <c r="W148">
        <v>507.97300000000001</v>
      </c>
      <c r="X148">
        <v>466.31299999999999</v>
      </c>
      <c r="Y148">
        <v>444.22199999999998</v>
      </c>
      <c r="Z148">
        <v>425.363</v>
      </c>
      <c r="AA148">
        <v>388.00700000000001</v>
      </c>
      <c r="AB148">
        <v>377.19900000000001</v>
      </c>
      <c r="AC148">
        <v>382.79599999999999</v>
      </c>
      <c r="AD148">
        <v>400.2</v>
      </c>
      <c r="AE148">
        <v>426.13</v>
      </c>
      <c r="AF148">
        <v>453.22699999999998</v>
      </c>
      <c r="AG148">
        <v>477.68099999999998</v>
      </c>
      <c r="AH148">
        <v>505.89400000000001</v>
      </c>
      <c r="AI148">
        <v>531.99199999999996</v>
      </c>
      <c r="AJ148">
        <v>535.27599999999995</v>
      </c>
      <c r="AK148">
        <v>563.42499999999995</v>
      </c>
      <c r="AL148">
        <v>596.68399999999997</v>
      </c>
      <c r="AM148">
        <v>631.79200000000003</v>
      </c>
      <c r="AN148">
        <v>676.16300000000001</v>
      </c>
      <c r="AO148">
        <v>731.53599999999994</v>
      </c>
      <c r="AP148">
        <v>767.58500000000004</v>
      </c>
      <c r="AQ148">
        <v>772.85199999999998</v>
      </c>
      <c r="AR148">
        <v>784.59500000000003</v>
      </c>
      <c r="AS148">
        <v>799.726</v>
      </c>
      <c r="AT148">
        <v>818.95899999999995</v>
      </c>
      <c r="AU148">
        <v>842.07399999999996</v>
      </c>
      <c r="AV148">
        <v>870.47900000000004</v>
      </c>
      <c r="AW148">
        <v>901.88599999999997</v>
      </c>
    </row>
    <row r="149" spans="1:49" x14ac:dyDescent="0.35">
      <c r="A149" t="s">
        <v>143</v>
      </c>
      <c r="B149" t="s">
        <v>59</v>
      </c>
      <c r="C149" t="s">
        <v>60</v>
      </c>
      <c r="D149" t="s">
        <v>61</v>
      </c>
    </row>
    <row r="150" spans="1:49" x14ac:dyDescent="0.35">
      <c r="A150" t="s">
        <v>143</v>
      </c>
      <c r="B150" t="s">
        <v>62</v>
      </c>
      <c r="C150" t="s">
        <v>63</v>
      </c>
      <c r="D150" t="s">
        <v>64</v>
      </c>
      <c r="F150" t="s">
        <v>42</v>
      </c>
      <c r="G150">
        <v>0.15</v>
      </c>
      <c r="H150">
        <v>0.14799999999999999</v>
      </c>
      <c r="I150">
        <v>0.14699999999999999</v>
      </c>
      <c r="J150">
        <v>0.14499999999999999</v>
      </c>
      <c r="K150">
        <v>0.14599999999999999</v>
      </c>
      <c r="L150">
        <v>0.14099999999999999</v>
      </c>
      <c r="M150">
        <v>0.14299999999999999</v>
      </c>
      <c r="N150">
        <v>0.14099999999999999</v>
      </c>
      <c r="O150">
        <v>0.13600000000000001</v>
      </c>
      <c r="P150">
        <v>0.129</v>
      </c>
      <c r="Q150">
        <v>0.11600000000000001</v>
      </c>
      <c r="R150">
        <v>0.104</v>
      </c>
      <c r="S150">
        <v>8.3000000000000004E-2</v>
      </c>
      <c r="T150">
        <v>7.0999999999999994E-2</v>
      </c>
      <c r="U150">
        <v>6.4000000000000001E-2</v>
      </c>
      <c r="V150">
        <v>6.4000000000000001E-2</v>
      </c>
      <c r="W150">
        <v>0.06</v>
      </c>
      <c r="X150">
        <v>5.2999999999999999E-2</v>
      </c>
      <c r="Y150">
        <v>0.05</v>
      </c>
      <c r="Z150">
        <v>4.7E-2</v>
      </c>
      <c r="AA150">
        <v>4.1000000000000002E-2</v>
      </c>
      <c r="AB150">
        <v>3.9E-2</v>
      </c>
      <c r="AC150">
        <v>3.9E-2</v>
      </c>
      <c r="AD150">
        <v>0.04</v>
      </c>
      <c r="AE150">
        <v>0.04</v>
      </c>
      <c r="AF150">
        <v>4.1000000000000002E-2</v>
      </c>
      <c r="AG150">
        <v>4.1000000000000002E-2</v>
      </c>
      <c r="AH150">
        <v>4.1000000000000002E-2</v>
      </c>
      <c r="AI150">
        <v>4.2000000000000003E-2</v>
      </c>
      <c r="AJ150">
        <v>4.3999999999999997E-2</v>
      </c>
      <c r="AK150">
        <v>4.3999999999999997E-2</v>
      </c>
      <c r="AL150">
        <v>4.5999999999999999E-2</v>
      </c>
      <c r="AM150">
        <v>4.7E-2</v>
      </c>
      <c r="AN150">
        <v>0.05</v>
      </c>
      <c r="AO150">
        <v>5.2999999999999999E-2</v>
      </c>
      <c r="AP150">
        <v>5.3999999999999999E-2</v>
      </c>
      <c r="AQ150">
        <v>5.3999999999999999E-2</v>
      </c>
      <c r="AR150">
        <v>5.3999999999999999E-2</v>
      </c>
      <c r="AS150">
        <v>5.2999999999999999E-2</v>
      </c>
      <c r="AT150">
        <v>5.2999999999999999E-2</v>
      </c>
      <c r="AU150">
        <v>5.2999999999999999E-2</v>
      </c>
      <c r="AV150">
        <v>5.2999999999999999E-2</v>
      </c>
      <c r="AW150">
        <v>5.3999999999999999E-2</v>
      </c>
    </row>
    <row r="151" spans="1:49" x14ac:dyDescent="0.35">
      <c r="A151" t="s">
        <v>143</v>
      </c>
      <c r="B151" t="s">
        <v>65</v>
      </c>
      <c r="C151" t="s">
        <v>66</v>
      </c>
      <c r="D151" t="s">
        <v>67</v>
      </c>
      <c r="F151" t="s">
        <v>42</v>
      </c>
      <c r="G151" t="s">
        <v>39</v>
      </c>
      <c r="H151" t="s">
        <v>39</v>
      </c>
      <c r="I151" t="s">
        <v>39</v>
      </c>
      <c r="J151" t="s">
        <v>39</v>
      </c>
      <c r="K151" t="s">
        <v>39</v>
      </c>
      <c r="L151" t="s">
        <v>39</v>
      </c>
      <c r="M151" t="s">
        <v>39</v>
      </c>
      <c r="N151" t="s">
        <v>39</v>
      </c>
      <c r="O151" t="s">
        <v>39</v>
      </c>
      <c r="P151" t="s">
        <v>39</v>
      </c>
      <c r="Q151" t="s">
        <v>39</v>
      </c>
      <c r="R151" t="s">
        <v>39</v>
      </c>
      <c r="S151" t="s">
        <v>39</v>
      </c>
      <c r="T151" t="s">
        <v>39</v>
      </c>
      <c r="U151">
        <v>1.2999999999999999E-2</v>
      </c>
      <c r="V151">
        <v>7.1999999999999995E-2</v>
      </c>
      <c r="W151">
        <v>0.52800000000000002</v>
      </c>
      <c r="X151">
        <v>1.516</v>
      </c>
      <c r="Y151">
        <v>1.998</v>
      </c>
      <c r="Z151">
        <v>10.612</v>
      </c>
      <c r="AA151">
        <v>64.745999999999995</v>
      </c>
      <c r="AB151">
        <v>109.553</v>
      </c>
      <c r="AC151">
        <v>142.119</v>
      </c>
      <c r="AD151">
        <v>158.035</v>
      </c>
      <c r="AE151">
        <v>163.59800000000001</v>
      </c>
      <c r="AF151">
        <v>205.84</v>
      </c>
      <c r="AG151">
        <v>223.88</v>
      </c>
      <c r="AH151">
        <v>259.23500000000001</v>
      </c>
      <c r="AI151">
        <v>304.03100000000001</v>
      </c>
      <c r="AJ151">
        <v>403.89400000000001</v>
      </c>
      <c r="AK151">
        <v>471.03399999999999</v>
      </c>
      <c r="AL151">
        <v>521.87</v>
      </c>
      <c r="AM151">
        <v>536.64800000000002</v>
      </c>
      <c r="AN151">
        <v>577.25699999999995</v>
      </c>
      <c r="AO151">
        <v>572.71500000000003</v>
      </c>
      <c r="AP151">
        <v>567.68399999999997</v>
      </c>
      <c r="AQ151">
        <v>648.42700000000002</v>
      </c>
      <c r="AR151">
        <v>902.92499999999995</v>
      </c>
      <c r="AS151" s="27">
        <v>1275.46</v>
      </c>
      <c r="AT151" s="27">
        <v>1675.48</v>
      </c>
      <c r="AU151" s="27">
        <v>2040.5</v>
      </c>
      <c r="AV151" s="27">
        <v>2289.75</v>
      </c>
      <c r="AW151" s="27">
        <v>2471.17</v>
      </c>
    </row>
    <row r="152" spans="1:49" x14ac:dyDescent="0.35">
      <c r="A152" t="s">
        <v>143</v>
      </c>
      <c r="B152" t="s">
        <v>68</v>
      </c>
      <c r="C152" t="s">
        <v>69</v>
      </c>
      <c r="D152" t="s">
        <v>70</v>
      </c>
      <c r="F152" t="s">
        <v>144</v>
      </c>
      <c r="G152" t="s">
        <v>82</v>
      </c>
      <c r="H152" t="s">
        <v>82</v>
      </c>
      <c r="I152" t="s">
        <v>82</v>
      </c>
      <c r="J152" t="s">
        <v>82</v>
      </c>
      <c r="K152" t="s">
        <v>82</v>
      </c>
      <c r="L152" t="s">
        <v>82</v>
      </c>
      <c r="M152" t="s">
        <v>82</v>
      </c>
      <c r="N152" t="s">
        <v>82</v>
      </c>
      <c r="O152" t="s">
        <v>82</v>
      </c>
      <c r="P152">
        <v>55.95</v>
      </c>
      <c r="Q152">
        <v>29.422000000000001</v>
      </c>
      <c r="R152">
        <v>25.347000000000001</v>
      </c>
      <c r="S152">
        <v>38.968000000000004</v>
      </c>
      <c r="T152">
        <v>23.763999999999999</v>
      </c>
      <c r="U152">
        <v>10.994999999999999</v>
      </c>
      <c r="V152">
        <v>14.38</v>
      </c>
      <c r="W152">
        <v>38.947000000000003</v>
      </c>
      <c r="X152">
        <v>51.530999999999999</v>
      </c>
      <c r="Y152">
        <v>52.432000000000002</v>
      </c>
      <c r="Z152">
        <v>13.981</v>
      </c>
      <c r="AA152">
        <v>12.1</v>
      </c>
      <c r="AB152">
        <v>5.1859999999999999</v>
      </c>
      <c r="AC152">
        <v>5.7430000000000003</v>
      </c>
      <c r="AD152">
        <v>9.3889999999999993</v>
      </c>
      <c r="AE152">
        <v>11.05</v>
      </c>
      <c r="AF152">
        <v>11.189</v>
      </c>
      <c r="AG152">
        <v>12.848000000000001</v>
      </c>
      <c r="AH152">
        <v>11.4</v>
      </c>
      <c r="AI152">
        <v>8.4960000000000004</v>
      </c>
      <c r="AJ152">
        <v>13.948</v>
      </c>
      <c r="AK152">
        <v>13.75</v>
      </c>
      <c r="AL152">
        <v>10.093</v>
      </c>
      <c r="AM152">
        <v>14.249000000000001</v>
      </c>
      <c r="AN152">
        <v>16.786999999999999</v>
      </c>
      <c r="AO152">
        <v>22.831</v>
      </c>
      <c r="AP152">
        <v>20.196999999999999</v>
      </c>
      <c r="AQ152">
        <v>11.772</v>
      </c>
      <c r="AR152">
        <v>12.522</v>
      </c>
      <c r="AS152">
        <v>14.079000000000001</v>
      </c>
      <c r="AT152">
        <v>14.821999999999999</v>
      </c>
      <c r="AU152">
        <v>16.129000000000001</v>
      </c>
      <c r="AV152">
        <v>16.16</v>
      </c>
      <c r="AW152">
        <v>15.997</v>
      </c>
    </row>
    <row r="153" spans="1:49" x14ac:dyDescent="0.35">
      <c r="A153" t="s">
        <v>143</v>
      </c>
      <c r="B153" t="s">
        <v>71</v>
      </c>
      <c r="C153" t="s">
        <v>72</v>
      </c>
      <c r="D153" t="s">
        <v>70</v>
      </c>
      <c r="F153" t="s">
        <v>144</v>
      </c>
      <c r="G153">
        <v>5.2069999999999999</v>
      </c>
      <c r="H153">
        <v>5.0529999999999999</v>
      </c>
      <c r="I153">
        <v>3.8519999999999999</v>
      </c>
      <c r="J153">
        <v>4.6790000000000003</v>
      </c>
      <c r="K153">
        <v>6.4420000000000002</v>
      </c>
      <c r="L153">
        <v>7.2510000000000003</v>
      </c>
      <c r="M153">
        <v>6.7320000000000002</v>
      </c>
      <c r="N153">
        <v>5.3440000000000003</v>
      </c>
      <c r="O153">
        <v>7.2229999999999999</v>
      </c>
      <c r="P153">
        <v>6.4820000000000002</v>
      </c>
      <c r="Q153">
        <v>6.03</v>
      </c>
      <c r="R153">
        <v>1.335</v>
      </c>
      <c r="S153">
        <v>3.8759999999999999</v>
      </c>
      <c r="T153">
        <v>3.028</v>
      </c>
      <c r="U153">
        <v>0.60899999999999999</v>
      </c>
      <c r="V153">
        <v>2.5129999999999999</v>
      </c>
      <c r="W153">
        <v>5.3460000000000001</v>
      </c>
      <c r="X153">
        <v>50.835999999999999</v>
      </c>
      <c r="Y153">
        <v>50.411000000000001</v>
      </c>
      <c r="Z153">
        <v>13.391999999999999</v>
      </c>
      <c r="AA153">
        <v>12.775</v>
      </c>
      <c r="AB153">
        <v>0.71599999999999997</v>
      </c>
      <c r="AC153">
        <v>1.546</v>
      </c>
      <c r="AD153">
        <v>5.8310000000000004</v>
      </c>
      <c r="AE153">
        <v>7.19</v>
      </c>
      <c r="AF153">
        <v>3.161</v>
      </c>
      <c r="AG153">
        <v>12.541</v>
      </c>
      <c r="AH153">
        <v>12.487</v>
      </c>
      <c r="AI153">
        <v>-0.625</v>
      </c>
      <c r="AJ153">
        <v>7.9320000000000004</v>
      </c>
      <c r="AK153">
        <v>12.475</v>
      </c>
      <c r="AL153">
        <v>8.0690000000000008</v>
      </c>
      <c r="AM153">
        <v>5.9790000000000001</v>
      </c>
      <c r="AN153">
        <v>11.548999999999999</v>
      </c>
      <c r="AO153">
        <v>18.039000000000001</v>
      </c>
      <c r="AP153">
        <v>16.329999999999998</v>
      </c>
      <c r="AQ153">
        <v>8.3800000000000008</v>
      </c>
      <c r="AR153">
        <v>7.9480000000000004</v>
      </c>
      <c r="AS153">
        <v>11.962</v>
      </c>
      <c r="AT153">
        <v>11.456</v>
      </c>
      <c r="AU153">
        <v>12.871</v>
      </c>
      <c r="AV153">
        <v>14.079000000000001</v>
      </c>
      <c r="AW153">
        <v>13.983000000000001</v>
      </c>
    </row>
    <row r="154" spans="1:49" x14ac:dyDescent="0.35">
      <c r="A154" t="s">
        <v>143</v>
      </c>
      <c r="B154" t="s">
        <v>73</v>
      </c>
      <c r="C154" t="s">
        <v>74</v>
      </c>
      <c r="D154" t="s">
        <v>47</v>
      </c>
      <c r="F154" t="s">
        <v>145</v>
      </c>
      <c r="G154" t="s">
        <v>39</v>
      </c>
      <c r="H154" t="s">
        <v>39</v>
      </c>
      <c r="I154" t="s">
        <v>39</v>
      </c>
      <c r="J154" t="s">
        <v>39</v>
      </c>
      <c r="K154" t="s">
        <v>39</v>
      </c>
      <c r="L154" t="s">
        <v>39</v>
      </c>
      <c r="M154" t="s">
        <v>39</v>
      </c>
      <c r="N154" t="s">
        <v>39</v>
      </c>
      <c r="O154" t="s">
        <v>39</v>
      </c>
      <c r="P154" t="s">
        <v>39</v>
      </c>
      <c r="Q154" t="s">
        <v>39</v>
      </c>
      <c r="R154" t="s">
        <v>39</v>
      </c>
      <c r="S154" t="s">
        <v>39</v>
      </c>
      <c r="T154" t="s">
        <v>39</v>
      </c>
      <c r="U154">
        <v>2.1999999999999999E-2</v>
      </c>
      <c r="V154">
        <v>0.14399999999999999</v>
      </c>
      <c r="W154">
        <v>1.0349999999999999</v>
      </c>
      <c r="X154">
        <v>3.0950000000000002</v>
      </c>
      <c r="Y154">
        <v>3.9969999999999999</v>
      </c>
      <c r="Z154">
        <v>15.385</v>
      </c>
      <c r="AA154">
        <v>100</v>
      </c>
      <c r="AB154">
        <v>457.28</v>
      </c>
      <c r="AC154">
        <v>573.04700000000003</v>
      </c>
      <c r="AD154">
        <v>646.49300000000005</v>
      </c>
      <c r="AE154">
        <v>672.35599999999999</v>
      </c>
      <c r="AF154">
        <v>817.21500000000003</v>
      </c>
      <c r="AG154">
        <v>922.18600000000004</v>
      </c>
      <c r="AH154" s="27">
        <v>1075.93</v>
      </c>
      <c r="AI154" s="27">
        <v>1269.23</v>
      </c>
      <c r="AJ154" s="27">
        <v>1854.36</v>
      </c>
      <c r="AK154" s="27">
        <v>2289.48</v>
      </c>
      <c r="AL154" s="27">
        <v>2631.75</v>
      </c>
      <c r="AM154" s="27">
        <v>2654.29</v>
      </c>
      <c r="AN154" s="27">
        <v>2677.54</v>
      </c>
      <c r="AO154" s="27">
        <v>2710.74</v>
      </c>
      <c r="AP154" s="27">
        <v>2736.75</v>
      </c>
      <c r="AQ154" s="27">
        <v>3234.84</v>
      </c>
      <c r="AR154" s="27">
        <v>4582.9399999999996</v>
      </c>
      <c r="AS154" s="27">
        <v>6599.43</v>
      </c>
      <c r="AT154" s="27">
        <v>8854.23</v>
      </c>
      <c r="AU154" s="27">
        <v>11010.05</v>
      </c>
      <c r="AV154" s="27">
        <v>12611.51</v>
      </c>
      <c r="AW154" s="27">
        <v>13872.66</v>
      </c>
    </row>
    <row r="155" spans="1:49" x14ac:dyDescent="0.35">
      <c r="A155" t="s">
        <v>143</v>
      </c>
      <c r="B155" t="s">
        <v>73</v>
      </c>
      <c r="C155" t="s">
        <v>76</v>
      </c>
      <c r="D155" t="s">
        <v>35</v>
      </c>
      <c r="F155" t="s">
        <v>77</v>
      </c>
      <c r="G155">
        <v>40.039000000000001</v>
      </c>
      <c r="H155">
        <v>34.884</v>
      </c>
      <c r="I155">
        <v>37.069000000000003</v>
      </c>
      <c r="J155">
        <v>76.73</v>
      </c>
      <c r="K155">
        <v>52.63</v>
      </c>
      <c r="L155">
        <v>23.46</v>
      </c>
      <c r="M155">
        <v>46.73</v>
      </c>
      <c r="N155">
        <v>90.37</v>
      </c>
      <c r="O155">
        <v>82.748999999999995</v>
      </c>
      <c r="P155">
        <v>104.065</v>
      </c>
      <c r="Q155">
        <v>81.295000000000002</v>
      </c>
      <c r="R155" s="27">
        <v>2154.44</v>
      </c>
      <c r="S155" s="27">
        <v>4129.17</v>
      </c>
      <c r="T155" s="27">
        <v>1986.9</v>
      </c>
      <c r="U155" s="27">
        <v>23773.1</v>
      </c>
      <c r="V155">
        <v>541.80100000000004</v>
      </c>
      <c r="W155">
        <v>617</v>
      </c>
      <c r="X155">
        <v>199</v>
      </c>
      <c r="Y155">
        <v>29.145</v>
      </c>
      <c r="Z155">
        <v>284.89999999999998</v>
      </c>
      <c r="AA155">
        <v>550</v>
      </c>
      <c r="AB155">
        <v>357.28</v>
      </c>
      <c r="AC155">
        <v>25.315999999999999</v>
      </c>
      <c r="AD155">
        <v>12.817</v>
      </c>
      <c r="AE155">
        <v>4.0010000000000003</v>
      </c>
      <c r="AF155">
        <v>21.545000000000002</v>
      </c>
      <c r="AG155">
        <v>12.845000000000001</v>
      </c>
      <c r="AH155">
        <v>16.672000000000001</v>
      </c>
      <c r="AI155">
        <v>17.966000000000001</v>
      </c>
      <c r="AJ155">
        <v>46.100999999999999</v>
      </c>
      <c r="AK155">
        <v>23.463999999999999</v>
      </c>
      <c r="AL155">
        <v>14.95</v>
      </c>
      <c r="AM155">
        <v>0.85699999999999998</v>
      </c>
      <c r="AN155">
        <v>0.876</v>
      </c>
      <c r="AO155">
        <v>1.24</v>
      </c>
      <c r="AP155">
        <v>0.95899999999999996</v>
      </c>
      <c r="AQ155">
        <v>18.2</v>
      </c>
      <c r="AR155">
        <v>41.673999999999999</v>
      </c>
      <c r="AS155">
        <v>44</v>
      </c>
      <c r="AT155">
        <v>34.167000000000002</v>
      </c>
      <c r="AU155">
        <v>24.347999999999999</v>
      </c>
      <c r="AV155">
        <v>14.545</v>
      </c>
      <c r="AW155">
        <v>10</v>
      </c>
    </row>
    <row r="156" spans="1:49" x14ac:dyDescent="0.35">
      <c r="A156" t="s">
        <v>143</v>
      </c>
      <c r="B156" t="s">
        <v>78</v>
      </c>
      <c r="C156" t="s">
        <v>79</v>
      </c>
      <c r="D156" t="s">
        <v>47</v>
      </c>
      <c r="F156" t="s">
        <v>145</v>
      </c>
      <c r="G156" t="s">
        <v>39</v>
      </c>
      <c r="H156" t="s">
        <v>39</v>
      </c>
      <c r="I156" t="s">
        <v>39</v>
      </c>
      <c r="J156" t="s">
        <v>39</v>
      </c>
      <c r="K156" t="s">
        <v>39</v>
      </c>
      <c r="L156" t="s">
        <v>39</v>
      </c>
      <c r="M156" t="s">
        <v>39</v>
      </c>
      <c r="N156" t="s">
        <v>39</v>
      </c>
      <c r="O156" t="s">
        <v>39</v>
      </c>
      <c r="P156" t="s">
        <v>39</v>
      </c>
      <c r="Q156" t="s">
        <v>39</v>
      </c>
      <c r="R156" t="s">
        <v>39</v>
      </c>
      <c r="S156" t="s">
        <v>39</v>
      </c>
      <c r="T156" t="s">
        <v>39</v>
      </c>
      <c r="U156">
        <v>1.2E-2</v>
      </c>
      <c r="V156">
        <v>5.5E-2</v>
      </c>
      <c r="W156">
        <v>1</v>
      </c>
      <c r="X156">
        <v>1.2</v>
      </c>
      <c r="Y156">
        <v>2.8</v>
      </c>
      <c r="Z156">
        <v>16.399999999999999</v>
      </c>
      <c r="AA156">
        <v>100</v>
      </c>
      <c r="AB156">
        <v>235.09</v>
      </c>
      <c r="AC156">
        <v>272.12</v>
      </c>
      <c r="AD156">
        <v>284.20999999999998</v>
      </c>
      <c r="AE156">
        <v>310.40600000000001</v>
      </c>
      <c r="AF156">
        <v>375.553</v>
      </c>
      <c r="AG156">
        <v>443.88799999999998</v>
      </c>
      <c r="AH156">
        <v>488.11900000000003</v>
      </c>
      <c r="AI156">
        <v>622.70100000000002</v>
      </c>
      <c r="AJ156">
        <v>955.46</v>
      </c>
      <c r="AK156" s="27">
        <v>1049.46</v>
      </c>
      <c r="AL156" s="27">
        <v>1140.28</v>
      </c>
      <c r="AM156" s="27">
        <v>1171.8499999999999</v>
      </c>
      <c r="AN156" s="27">
        <v>1184.44</v>
      </c>
      <c r="AO156" s="27">
        <v>1196.6300000000001</v>
      </c>
      <c r="AP156" s="27">
        <v>1207.27</v>
      </c>
      <c r="AQ156" s="27">
        <v>1492.19</v>
      </c>
      <c r="AR156" s="27">
        <v>2238.29</v>
      </c>
      <c r="AS156" s="27">
        <v>3133.6</v>
      </c>
      <c r="AT156" s="27">
        <v>4073.68</v>
      </c>
      <c r="AU156" s="27">
        <v>4888.42</v>
      </c>
      <c r="AV156" s="27">
        <v>5377.26</v>
      </c>
      <c r="AW156" s="27">
        <v>5914.98</v>
      </c>
    </row>
    <row r="157" spans="1:49" x14ac:dyDescent="0.35">
      <c r="A157" t="s">
        <v>143</v>
      </c>
      <c r="B157" t="s">
        <v>78</v>
      </c>
      <c r="C157" t="s">
        <v>80</v>
      </c>
      <c r="D157" t="s">
        <v>35</v>
      </c>
      <c r="F157" t="s">
        <v>81</v>
      </c>
      <c r="G157" t="s">
        <v>82</v>
      </c>
      <c r="H157">
        <v>52.173999999999999</v>
      </c>
      <c r="I157">
        <v>40.713999999999999</v>
      </c>
      <c r="J157">
        <v>-11.093999999999999</v>
      </c>
      <c r="K157">
        <v>159.083</v>
      </c>
      <c r="L157">
        <v>39.22</v>
      </c>
      <c r="M157">
        <v>38.26</v>
      </c>
      <c r="N157">
        <v>106.47</v>
      </c>
      <c r="O157">
        <v>120.59</v>
      </c>
      <c r="P157">
        <v>56.12</v>
      </c>
      <c r="Q157">
        <v>264.97000000000003</v>
      </c>
      <c r="R157" s="27">
        <v>4227.9799999999996</v>
      </c>
      <c r="S157" s="27">
        <v>2729.79</v>
      </c>
      <c r="T157" s="27">
        <v>4583.08</v>
      </c>
      <c r="U157" s="27">
        <v>9796.9</v>
      </c>
      <c r="V157">
        <v>370.27199999999999</v>
      </c>
      <c r="W157" s="27">
        <v>1705.11</v>
      </c>
      <c r="X157">
        <v>20</v>
      </c>
      <c r="Y157">
        <v>133.333</v>
      </c>
      <c r="Z157">
        <v>485.714</v>
      </c>
      <c r="AA157">
        <v>509.75599999999997</v>
      </c>
      <c r="AB157">
        <v>135.09</v>
      </c>
      <c r="AC157">
        <v>15.750999999999999</v>
      </c>
      <c r="AD157">
        <v>4.4429999999999996</v>
      </c>
      <c r="AE157">
        <v>9.2170000000000005</v>
      </c>
      <c r="AF157">
        <v>20.988</v>
      </c>
      <c r="AG157">
        <v>18.196000000000002</v>
      </c>
      <c r="AH157">
        <v>9.9640000000000004</v>
      </c>
      <c r="AI157">
        <v>27.571999999999999</v>
      </c>
      <c r="AJ157">
        <v>53.438000000000002</v>
      </c>
      <c r="AK157">
        <v>9.8379999999999992</v>
      </c>
      <c r="AL157">
        <v>8.6539999999999999</v>
      </c>
      <c r="AM157">
        <v>2.7690000000000001</v>
      </c>
      <c r="AN157">
        <v>1.0740000000000001</v>
      </c>
      <c r="AO157">
        <v>1.03</v>
      </c>
      <c r="AP157">
        <v>0.88900000000000001</v>
      </c>
      <c r="AQ157">
        <v>23.6</v>
      </c>
      <c r="AR157">
        <v>50</v>
      </c>
      <c r="AS157">
        <v>40</v>
      </c>
      <c r="AT157">
        <v>30</v>
      </c>
      <c r="AU157">
        <v>20</v>
      </c>
      <c r="AV157">
        <v>10</v>
      </c>
      <c r="AW157">
        <v>10</v>
      </c>
    </row>
    <row r="158" spans="1:49" x14ac:dyDescent="0.35">
      <c r="A158" t="s">
        <v>143</v>
      </c>
      <c r="B158" t="s">
        <v>83</v>
      </c>
      <c r="D158" t="s">
        <v>64</v>
      </c>
    </row>
    <row r="159" spans="1:49" x14ac:dyDescent="0.35">
      <c r="A159" t="s">
        <v>143</v>
      </c>
      <c r="B159" t="s">
        <v>84</v>
      </c>
      <c r="C159" t="s">
        <v>85</v>
      </c>
      <c r="D159" t="s">
        <v>35</v>
      </c>
      <c r="F159" t="s">
        <v>146</v>
      </c>
      <c r="G159" t="s">
        <v>82</v>
      </c>
      <c r="H159" t="s">
        <v>82</v>
      </c>
      <c r="I159" t="s">
        <v>82</v>
      </c>
      <c r="J159" t="s">
        <v>82</v>
      </c>
      <c r="K159" t="s">
        <v>82</v>
      </c>
      <c r="L159" t="s">
        <v>82</v>
      </c>
      <c r="M159" t="s">
        <v>82</v>
      </c>
      <c r="N159" t="s">
        <v>82</v>
      </c>
      <c r="O159" t="s">
        <v>82</v>
      </c>
      <c r="P159" t="s">
        <v>82</v>
      </c>
      <c r="Q159" t="s">
        <v>82</v>
      </c>
      <c r="R159" t="s">
        <v>82</v>
      </c>
      <c r="S159" t="s">
        <v>82</v>
      </c>
      <c r="T159" t="s">
        <v>82</v>
      </c>
      <c r="U159" t="s">
        <v>82</v>
      </c>
      <c r="V159" t="s">
        <v>82</v>
      </c>
      <c r="W159" t="s">
        <v>82</v>
      </c>
      <c r="X159">
        <v>-29.053000000000001</v>
      </c>
      <c r="Y159">
        <v>32.380000000000003</v>
      </c>
      <c r="Z159">
        <v>-37.997999999999998</v>
      </c>
      <c r="AA159">
        <v>35.649000000000001</v>
      </c>
      <c r="AB159">
        <v>-50.030999999999999</v>
      </c>
      <c r="AC159">
        <v>-24.841999999999999</v>
      </c>
      <c r="AD159">
        <v>10.083</v>
      </c>
      <c r="AE159">
        <v>24.777000000000001</v>
      </c>
      <c r="AF159">
        <v>33.192999999999998</v>
      </c>
      <c r="AG159">
        <v>2.589</v>
      </c>
      <c r="AH159">
        <v>78.864000000000004</v>
      </c>
      <c r="AI159">
        <v>13.254</v>
      </c>
      <c r="AJ159">
        <v>-15.044</v>
      </c>
      <c r="AK159">
        <v>35.598999999999997</v>
      </c>
      <c r="AL159">
        <v>8.3800000000000008</v>
      </c>
      <c r="AM159">
        <v>-9.9960000000000004</v>
      </c>
      <c r="AN159">
        <v>14.564</v>
      </c>
      <c r="AO159">
        <v>23.718</v>
      </c>
      <c r="AP159">
        <v>-2.7469999999999999</v>
      </c>
      <c r="AQ159">
        <v>-1.048</v>
      </c>
      <c r="AR159">
        <v>14.6</v>
      </c>
      <c r="AS159">
        <v>9.9580000000000002</v>
      </c>
      <c r="AT159">
        <v>7.9240000000000004</v>
      </c>
      <c r="AU159">
        <v>5.2770000000000001</v>
      </c>
      <c r="AV159">
        <v>2.1619999999999999</v>
      </c>
      <c r="AW159">
        <v>6.0279999999999996</v>
      </c>
    </row>
    <row r="160" spans="1:49" x14ac:dyDescent="0.35">
      <c r="A160" t="s">
        <v>143</v>
      </c>
      <c r="B160" t="s">
        <v>87</v>
      </c>
      <c r="C160" t="s">
        <v>88</v>
      </c>
      <c r="D160" t="s">
        <v>35</v>
      </c>
      <c r="F160" t="s">
        <v>146</v>
      </c>
      <c r="G160">
        <v>-5.0250000000000004</v>
      </c>
      <c r="H160">
        <v>-5.3789999999999996</v>
      </c>
      <c r="I160">
        <v>4.444</v>
      </c>
      <c r="J160">
        <v>10.478999999999999</v>
      </c>
      <c r="K160">
        <v>0</v>
      </c>
      <c r="L160" t="s">
        <v>39</v>
      </c>
      <c r="M160">
        <v>6.859</v>
      </c>
      <c r="N160">
        <v>6.4279999999999999</v>
      </c>
      <c r="O160">
        <v>-11.82</v>
      </c>
      <c r="P160">
        <v>16.105</v>
      </c>
      <c r="Q160">
        <v>-17.648</v>
      </c>
      <c r="R160">
        <v>-20.742000000000001</v>
      </c>
      <c r="S160">
        <v>-31.420999999999999</v>
      </c>
      <c r="T160">
        <v>-29.029</v>
      </c>
      <c r="U160">
        <v>5.5720000000000001</v>
      </c>
      <c r="V160">
        <v>39.585000000000001</v>
      </c>
      <c r="W160">
        <v>-0.47</v>
      </c>
      <c r="X160">
        <v>-23.553999999999998</v>
      </c>
      <c r="Y160">
        <v>27.795000000000002</v>
      </c>
      <c r="Z160">
        <v>-45.127000000000002</v>
      </c>
      <c r="AA160">
        <v>32.457000000000001</v>
      </c>
      <c r="AB160">
        <v>20.026</v>
      </c>
      <c r="AC160">
        <v>34.103999999999999</v>
      </c>
      <c r="AD160">
        <v>12.106</v>
      </c>
      <c r="AE160">
        <v>28.356999999999999</v>
      </c>
      <c r="AF160">
        <v>30.183</v>
      </c>
      <c r="AG160">
        <v>2.6379999999999999</v>
      </c>
      <c r="AH160">
        <v>79.289000000000001</v>
      </c>
      <c r="AI160">
        <v>12.218999999999999</v>
      </c>
      <c r="AJ160">
        <v>-17.992999999999999</v>
      </c>
      <c r="AK160">
        <v>38.893999999999998</v>
      </c>
      <c r="AL160">
        <v>9.6539999999999999</v>
      </c>
      <c r="AM160">
        <v>-9.7590000000000003</v>
      </c>
      <c r="AN160">
        <v>21.454000000000001</v>
      </c>
      <c r="AO160">
        <v>30.081</v>
      </c>
      <c r="AP160">
        <v>-4.9080000000000004</v>
      </c>
      <c r="AQ160">
        <v>1.45</v>
      </c>
      <c r="AR160">
        <v>14.266999999999999</v>
      </c>
      <c r="AS160">
        <v>9.625</v>
      </c>
      <c r="AT160">
        <v>8.5670000000000002</v>
      </c>
      <c r="AU160">
        <v>5.2770000000000001</v>
      </c>
      <c r="AV160">
        <v>2.1619999999999999</v>
      </c>
      <c r="AW160">
        <v>6.0279999999999996</v>
      </c>
    </row>
    <row r="161" spans="1:49" x14ac:dyDescent="0.35">
      <c r="A161" t="s">
        <v>143</v>
      </c>
      <c r="B161" t="s">
        <v>89</v>
      </c>
      <c r="C161" t="s">
        <v>90</v>
      </c>
      <c r="D161" t="s">
        <v>35</v>
      </c>
      <c r="F161" t="s">
        <v>146</v>
      </c>
      <c r="G161" t="s">
        <v>82</v>
      </c>
      <c r="H161" t="s">
        <v>82</v>
      </c>
      <c r="I161" t="s">
        <v>82</v>
      </c>
      <c r="J161" t="s">
        <v>82</v>
      </c>
      <c r="K161" t="s">
        <v>82</v>
      </c>
      <c r="L161" t="s">
        <v>82</v>
      </c>
      <c r="M161" t="s">
        <v>82</v>
      </c>
      <c r="N161" t="s">
        <v>82</v>
      </c>
      <c r="O161" t="s">
        <v>82</v>
      </c>
      <c r="P161" t="s">
        <v>82</v>
      </c>
      <c r="Q161" t="s">
        <v>82</v>
      </c>
      <c r="R161" t="s">
        <v>82</v>
      </c>
      <c r="S161" t="s">
        <v>82</v>
      </c>
      <c r="T161">
        <v>9.9149999999999991</v>
      </c>
      <c r="U161">
        <v>9.9149999999999991</v>
      </c>
      <c r="V161">
        <v>28.334</v>
      </c>
      <c r="W161">
        <v>-4.3730000000000002</v>
      </c>
      <c r="X161">
        <v>-26.085999999999999</v>
      </c>
      <c r="Y161">
        <v>10.377000000000001</v>
      </c>
      <c r="Z161">
        <v>-22.952000000000002</v>
      </c>
      <c r="AA161">
        <v>-6.0780000000000003</v>
      </c>
      <c r="AB161">
        <v>-34.851999999999997</v>
      </c>
      <c r="AC161">
        <v>-31.462</v>
      </c>
      <c r="AD161">
        <v>-3.1509999999999998</v>
      </c>
      <c r="AE161">
        <v>-21.262</v>
      </c>
      <c r="AF161">
        <v>32.140999999999998</v>
      </c>
      <c r="AG161">
        <v>-24.39</v>
      </c>
      <c r="AH161">
        <v>63.030999999999999</v>
      </c>
      <c r="AI161">
        <v>9.8610000000000007</v>
      </c>
      <c r="AJ161">
        <v>-1.2090000000000001</v>
      </c>
      <c r="AK161">
        <v>54.000999999999998</v>
      </c>
      <c r="AL161">
        <v>13.462999999999999</v>
      </c>
      <c r="AM161">
        <v>-11.805</v>
      </c>
      <c r="AN161">
        <v>40.08</v>
      </c>
      <c r="AO161">
        <v>-4.7530000000000001</v>
      </c>
      <c r="AP161">
        <v>-5.9690000000000003</v>
      </c>
      <c r="AQ161">
        <v>0.92900000000000005</v>
      </c>
      <c r="AR161">
        <v>11.62</v>
      </c>
      <c r="AS161">
        <v>15.817</v>
      </c>
      <c r="AT161">
        <v>6.3259999999999996</v>
      </c>
      <c r="AU161">
        <v>6.1950000000000003</v>
      </c>
      <c r="AV161">
        <v>6.2430000000000003</v>
      </c>
      <c r="AW161">
        <v>7.2510000000000003</v>
      </c>
    </row>
    <row r="162" spans="1:49" x14ac:dyDescent="0.35">
      <c r="A162" t="s">
        <v>143</v>
      </c>
      <c r="B162" t="s">
        <v>91</v>
      </c>
      <c r="C162" t="s">
        <v>92</v>
      </c>
      <c r="D162" t="s">
        <v>35</v>
      </c>
      <c r="F162" t="s">
        <v>146</v>
      </c>
      <c r="G162">
        <v>-4.718</v>
      </c>
      <c r="H162">
        <v>-23.106999999999999</v>
      </c>
      <c r="I162">
        <v>10.619</v>
      </c>
      <c r="J162">
        <v>7.181</v>
      </c>
      <c r="K162">
        <v>0</v>
      </c>
      <c r="L162">
        <v>9.8960000000000008</v>
      </c>
      <c r="M162">
        <v>-15.933999999999999</v>
      </c>
      <c r="N162">
        <v>8.4589999999999996</v>
      </c>
      <c r="O162">
        <v>5.4009999999999998</v>
      </c>
      <c r="P162">
        <v>-3.2770000000000001</v>
      </c>
      <c r="Q162">
        <v>8.8999999999999996E-2</v>
      </c>
      <c r="R162">
        <v>-26.094000000000001</v>
      </c>
      <c r="S162">
        <v>-28.724</v>
      </c>
      <c r="T162">
        <v>-2.871</v>
      </c>
      <c r="U162">
        <v>12.612</v>
      </c>
      <c r="V162">
        <v>20.077999999999999</v>
      </c>
      <c r="W162">
        <v>-2.214</v>
      </c>
      <c r="X162">
        <v>-17.364999999999998</v>
      </c>
      <c r="Y162">
        <v>4.9160000000000004</v>
      </c>
      <c r="Z162">
        <v>-19.492999999999999</v>
      </c>
      <c r="AA162">
        <v>-6.0780000000000003</v>
      </c>
      <c r="AB162">
        <v>-34.851999999999997</v>
      </c>
      <c r="AC162">
        <v>-31.462</v>
      </c>
      <c r="AD162">
        <v>-4.3230000000000004</v>
      </c>
      <c r="AE162">
        <v>-20.396999999999998</v>
      </c>
      <c r="AF162">
        <v>23.966000000000001</v>
      </c>
      <c r="AG162">
        <v>-23.254999999999999</v>
      </c>
      <c r="AH162">
        <v>75.977999999999994</v>
      </c>
      <c r="AI162">
        <v>8.2989999999999995</v>
      </c>
      <c r="AJ162">
        <v>-7.0069999999999997</v>
      </c>
      <c r="AK162">
        <v>64.206000000000003</v>
      </c>
      <c r="AL162">
        <v>14.144</v>
      </c>
      <c r="AM162">
        <v>-8.5749999999999993</v>
      </c>
      <c r="AN162">
        <v>41.003999999999998</v>
      </c>
      <c r="AO162">
        <v>-4.8659999999999997</v>
      </c>
      <c r="AP162">
        <v>-5.165</v>
      </c>
      <c r="AQ162">
        <v>1.3320000000000001</v>
      </c>
      <c r="AR162">
        <v>11.397</v>
      </c>
      <c r="AS162">
        <v>15.817</v>
      </c>
      <c r="AT162">
        <v>6.3259999999999996</v>
      </c>
      <c r="AU162">
        <v>6.1950000000000003</v>
      </c>
      <c r="AV162">
        <v>6.2430000000000003</v>
      </c>
      <c r="AW162">
        <v>7.2510000000000003</v>
      </c>
    </row>
    <row r="163" spans="1:49" x14ac:dyDescent="0.35">
      <c r="A163" t="s">
        <v>143</v>
      </c>
      <c r="B163" t="s">
        <v>93</v>
      </c>
      <c r="C163" t="s">
        <v>94</v>
      </c>
      <c r="D163" t="s">
        <v>95</v>
      </c>
    </row>
    <row r="164" spans="1:49" x14ac:dyDescent="0.35">
      <c r="A164" t="s">
        <v>143</v>
      </c>
      <c r="B164" t="s">
        <v>96</v>
      </c>
      <c r="C164" t="s">
        <v>97</v>
      </c>
      <c r="D164" t="s">
        <v>98</v>
      </c>
      <c r="E164" t="s">
        <v>99</v>
      </c>
    </row>
    <row r="165" spans="1:49" x14ac:dyDescent="0.35">
      <c r="A165" t="s">
        <v>143</v>
      </c>
      <c r="B165" t="s">
        <v>100</v>
      </c>
      <c r="C165" t="s">
        <v>101</v>
      </c>
      <c r="D165" t="s">
        <v>98</v>
      </c>
      <c r="E165" t="s">
        <v>99</v>
      </c>
      <c r="F165" t="s">
        <v>147</v>
      </c>
      <c r="G165">
        <v>28.712</v>
      </c>
      <c r="H165">
        <v>29.658999999999999</v>
      </c>
      <c r="I165">
        <v>30.638000000000002</v>
      </c>
      <c r="J165">
        <v>31.649000000000001</v>
      </c>
      <c r="K165">
        <v>32.692999999999998</v>
      </c>
      <c r="L165">
        <v>33.771999999999998</v>
      </c>
      <c r="M165">
        <v>34.887</v>
      </c>
      <c r="N165">
        <v>36.037999999999997</v>
      </c>
      <c r="O165">
        <v>37.226999999999997</v>
      </c>
      <c r="P165">
        <v>38.456000000000003</v>
      </c>
      <c r="Q165">
        <v>39.725000000000001</v>
      </c>
      <c r="R165">
        <v>41.036000000000001</v>
      </c>
      <c r="S165">
        <v>42.39</v>
      </c>
      <c r="T165">
        <v>43.789000000000001</v>
      </c>
      <c r="U165">
        <v>45.234000000000002</v>
      </c>
      <c r="V165">
        <v>46.725999999999999</v>
      </c>
      <c r="W165">
        <v>47.911999999999999</v>
      </c>
      <c r="X165">
        <v>48.923999999999999</v>
      </c>
      <c r="Y165">
        <v>49.902000000000001</v>
      </c>
      <c r="Z165">
        <v>50.9</v>
      </c>
      <c r="AA165">
        <v>52.427</v>
      </c>
      <c r="AB165">
        <v>54</v>
      </c>
      <c r="AC165">
        <v>55.62</v>
      </c>
      <c r="AD165">
        <v>57.289000000000001</v>
      </c>
      <c r="AE165">
        <v>59.006999999999998</v>
      </c>
      <c r="AF165">
        <v>60.777000000000001</v>
      </c>
      <c r="AG165">
        <v>62.600999999999999</v>
      </c>
      <c r="AH165">
        <v>64.478999999999999</v>
      </c>
      <c r="AI165">
        <v>66.412999999999997</v>
      </c>
      <c r="AJ165">
        <v>68.406000000000006</v>
      </c>
      <c r="AK165">
        <v>70.457999999999998</v>
      </c>
      <c r="AL165">
        <v>72.570999999999998</v>
      </c>
      <c r="AM165">
        <v>74.748999999999995</v>
      </c>
      <c r="AN165">
        <v>76.991</v>
      </c>
      <c r="AO165">
        <v>79.301000000000002</v>
      </c>
      <c r="AP165">
        <v>81.680000000000007</v>
      </c>
      <c r="AQ165">
        <v>84.13</v>
      </c>
      <c r="AR165">
        <v>86.653999999999996</v>
      </c>
      <c r="AS165">
        <v>89.254000000000005</v>
      </c>
      <c r="AT165">
        <v>91.930999999999997</v>
      </c>
      <c r="AU165">
        <v>94.688999999999993</v>
      </c>
      <c r="AV165">
        <v>97.53</v>
      </c>
      <c r="AW165">
        <v>100.456</v>
      </c>
    </row>
    <row r="166" spans="1:49" x14ac:dyDescent="0.35">
      <c r="A166" t="s">
        <v>143</v>
      </c>
      <c r="B166" t="s">
        <v>103</v>
      </c>
      <c r="C166" t="s">
        <v>104</v>
      </c>
      <c r="D166" t="s">
        <v>31</v>
      </c>
      <c r="E166" t="s">
        <v>32</v>
      </c>
      <c r="F166" t="s">
        <v>148</v>
      </c>
      <c r="G166" t="s">
        <v>82</v>
      </c>
      <c r="H166" t="s">
        <v>82</v>
      </c>
      <c r="I166" t="s">
        <v>82</v>
      </c>
      <c r="J166" t="s">
        <v>82</v>
      </c>
      <c r="K166" t="s">
        <v>82</v>
      </c>
      <c r="L166" t="s">
        <v>82</v>
      </c>
      <c r="M166" t="s">
        <v>82</v>
      </c>
      <c r="N166" t="s">
        <v>82</v>
      </c>
      <c r="O166" t="s">
        <v>82</v>
      </c>
      <c r="P166" t="s">
        <v>82</v>
      </c>
      <c r="Q166" t="s">
        <v>82</v>
      </c>
      <c r="R166" t="s">
        <v>82</v>
      </c>
      <c r="S166" t="s">
        <v>82</v>
      </c>
      <c r="T166" t="s">
        <v>82</v>
      </c>
      <c r="U166" t="s">
        <v>82</v>
      </c>
      <c r="V166" t="s">
        <v>82</v>
      </c>
      <c r="W166">
        <v>0.20699999999999999</v>
      </c>
      <c r="X166">
        <v>0.504</v>
      </c>
      <c r="Y166">
        <v>0.54800000000000004</v>
      </c>
      <c r="Z166">
        <v>1.8360000000000001</v>
      </c>
      <c r="AA166">
        <v>8.3879999999999999</v>
      </c>
      <c r="AB166">
        <v>66.619</v>
      </c>
      <c r="AC166">
        <v>148.029</v>
      </c>
      <c r="AD166">
        <v>179.136</v>
      </c>
      <c r="AE166">
        <v>288.66899999999998</v>
      </c>
      <c r="AF166">
        <v>531.04300000000001</v>
      </c>
      <c r="AG166">
        <v>684.423</v>
      </c>
      <c r="AH166">
        <v>881.18299999999999</v>
      </c>
      <c r="AI166" s="27">
        <v>1238.9000000000001</v>
      </c>
      <c r="AJ166" s="27">
        <v>2022.77</v>
      </c>
      <c r="AK166" s="27">
        <v>2914.77</v>
      </c>
      <c r="AL166" s="27">
        <v>3088.67</v>
      </c>
      <c r="AM166" s="27">
        <v>4174.22</v>
      </c>
      <c r="AN166" s="27">
        <v>4394.67</v>
      </c>
      <c r="AO166" s="27">
        <v>6179.89</v>
      </c>
      <c r="AP166" s="27">
        <v>5962.48</v>
      </c>
      <c r="AQ166" s="27">
        <v>5042.26</v>
      </c>
      <c r="AR166" s="27">
        <v>6487.41</v>
      </c>
      <c r="AS166" s="27">
        <v>10570.86</v>
      </c>
      <c r="AT166" s="27">
        <v>14723.72</v>
      </c>
      <c r="AU166" s="27">
        <v>19915.38</v>
      </c>
      <c r="AV166" s="27">
        <v>24685.66</v>
      </c>
      <c r="AW166" s="27">
        <v>29847.25</v>
      </c>
    </row>
    <row r="167" spans="1:49" x14ac:dyDescent="0.35">
      <c r="A167" t="s">
        <v>143</v>
      </c>
      <c r="B167" t="s">
        <v>103</v>
      </c>
      <c r="C167" t="s">
        <v>104</v>
      </c>
      <c r="D167" t="s">
        <v>70</v>
      </c>
      <c r="F167" t="s">
        <v>106</v>
      </c>
      <c r="G167" t="s">
        <v>82</v>
      </c>
      <c r="H167" t="s">
        <v>82</v>
      </c>
      <c r="I167" t="s">
        <v>82</v>
      </c>
      <c r="J167" t="s">
        <v>82</v>
      </c>
      <c r="K167" t="s">
        <v>82</v>
      </c>
      <c r="L167" t="s">
        <v>82</v>
      </c>
      <c r="M167" t="s">
        <v>82</v>
      </c>
      <c r="N167" t="s">
        <v>82</v>
      </c>
      <c r="O167" t="s">
        <v>82</v>
      </c>
      <c r="P167" t="s">
        <v>82</v>
      </c>
      <c r="Q167" t="s">
        <v>82</v>
      </c>
      <c r="R167" t="s">
        <v>82</v>
      </c>
      <c r="S167" t="s">
        <v>82</v>
      </c>
      <c r="T167" t="s">
        <v>82</v>
      </c>
      <c r="U167" t="s">
        <v>82</v>
      </c>
      <c r="V167" t="s">
        <v>82</v>
      </c>
      <c r="W167">
        <v>1.611</v>
      </c>
      <c r="X167">
        <v>1.456</v>
      </c>
      <c r="Y167">
        <v>1.236</v>
      </c>
      <c r="Z167">
        <v>0.79900000000000004</v>
      </c>
      <c r="AA167">
        <v>0.63700000000000001</v>
      </c>
      <c r="AB167">
        <v>2.9849999999999999</v>
      </c>
      <c r="AC167">
        <v>4.8920000000000003</v>
      </c>
      <c r="AD167">
        <v>4.944</v>
      </c>
      <c r="AE167">
        <v>7.0170000000000003</v>
      </c>
      <c r="AF167">
        <v>9.3659999999999997</v>
      </c>
      <c r="AG167">
        <v>10.223000000000001</v>
      </c>
      <c r="AH167">
        <v>10.420999999999999</v>
      </c>
      <c r="AI167">
        <v>11.532999999999999</v>
      </c>
      <c r="AJ167">
        <v>13.678000000000001</v>
      </c>
      <c r="AK167">
        <v>15.587999999999999</v>
      </c>
      <c r="AL167">
        <v>13.667999999999999</v>
      </c>
      <c r="AM167">
        <v>16.471</v>
      </c>
      <c r="AN167">
        <v>14.624000000000001</v>
      </c>
      <c r="AO167">
        <v>18.600999999999999</v>
      </c>
      <c r="AP167">
        <v>16.751999999999999</v>
      </c>
      <c r="AQ167">
        <v>11.96</v>
      </c>
      <c r="AR167">
        <v>10.568</v>
      </c>
      <c r="AS167">
        <v>11.611000000000001</v>
      </c>
      <c r="AT167">
        <v>11.672000000000001</v>
      </c>
      <c r="AU167">
        <v>12.241</v>
      </c>
      <c r="AV167">
        <v>12.699</v>
      </c>
      <c r="AW167">
        <v>13.331</v>
      </c>
    </row>
    <row r="168" spans="1:49" x14ac:dyDescent="0.35">
      <c r="A168" t="s">
        <v>143</v>
      </c>
      <c r="B168" t="s">
        <v>107</v>
      </c>
      <c r="C168" t="s">
        <v>108</v>
      </c>
      <c r="D168" t="s">
        <v>31</v>
      </c>
      <c r="E168" t="s">
        <v>32</v>
      </c>
      <c r="F168" t="s">
        <v>148</v>
      </c>
      <c r="G168" t="s">
        <v>82</v>
      </c>
      <c r="H168" t="s">
        <v>82</v>
      </c>
      <c r="I168" t="s">
        <v>82</v>
      </c>
      <c r="J168" t="s">
        <v>82</v>
      </c>
      <c r="K168" t="s">
        <v>82</v>
      </c>
      <c r="L168" t="s">
        <v>82</v>
      </c>
      <c r="M168" t="s">
        <v>82</v>
      </c>
      <c r="N168" t="s">
        <v>82</v>
      </c>
      <c r="O168" t="s">
        <v>82</v>
      </c>
      <c r="P168" t="s">
        <v>82</v>
      </c>
      <c r="Q168" t="s">
        <v>82</v>
      </c>
      <c r="R168" t="s">
        <v>82</v>
      </c>
      <c r="S168" t="s">
        <v>82</v>
      </c>
      <c r="T168" t="s">
        <v>82</v>
      </c>
      <c r="U168" t="s">
        <v>82</v>
      </c>
      <c r="V168" t="s">
        <v>82</v>
      </c>
      <c r="W168">
        <v>0.27900000000000003</v>
      </c>
      <c r="X168">
        <v>0.86899999999999999</v>
      </c>
      <c r="Y168">
        <v>1.2330000000000001</v>
      </c>
      <c r="Z168">
        <v>4.9340000000000002</v>
      </c>
      <c r="AA168">
        <v>32.701000000000001</v>
      </c>
      <c r="AB168">
        <v>115.34099999999999</v>
      </c>
      <c r="AC168">
        <v>157.31800000000001</v>
      </c>
      <c r="AD168">
        <v>361.75599999999997</v>
      </c>
      <c r="AE168">
        <v>359.46</v>
      </c>
      <c r="AF168">
        <v>497.37200000000001</v>
      </c>
      <c r="AG168">
        <v>616.49699999999996</v>
      </c>
      <c r="AH168">
        <v>846.85900000000004</v>
      </c>
      <c r="AI168" s="27">
        <v>1296.0999999999999</v>
      </c>
      <c r="AJ168" s="27">
        <v>1883.58</v>
      </c>
      <c r="AK168" s="27">
        <v>3110.98</v>
      </c>
      <c r="AL168" s="27">
        <v>3323.35</v>
      </c>
      <c r="AM168" s="27">
        <v>3702.55</v>
      </c>
      <c r="AN168" s="27">
        <v>3477</v>
      </c>
      <c r="AO168" s="27">
        <v>5770.6</v>
      </c>
      <c r="AP168" s="27">
        <v>5632.41</v>
      </c>
      <c r="AQ168" s="27">
        <v>4986.82</v>
      </c>
      <c r="AR168" s="27">
        <v>6656.02</v>
      </c>
      <c r="AS168" s="27">
        <v>10000.99</v>
      </c>
      <c r="AT168" s="27">
        <v>13646.52</v>
      </c>
      <c r="AU168" s="27">
        <v>18291.7</v>
      </c>
      <c r="AV168" s="27">
        <v>22691.96</v>
      </c>
      <c r="AW168" s="27">
        <v>27286.51</v>
      </c>
    </row>
    <row r="169" spans="1:49" x14ac:dyDescent="0.35">
      <c r="A169" t="s">
        <v>143</v>
      </c>
      <c r="B169" t="s">
        <v>107</v>
      </c>
      <c r="C169" t="s">
        <v>108</v>
      </c>
      <c r="D169" t="s">
        <v>70</v>
      </c>
      <c r="F169" t="s">
        <v>109</v>
      </c>
      <c r="G169" t="s">
        <v>82</v>
      </c>
      <c r="H169" t="s">
        <v>82</v>
      </c>
      <c r="I169" t="s">
        <v>82</v>
      </c>
      <c r="J169" t="s">
        <v>82</v>
      </c>
      <c r="K169" t="s">
        <v>82</v>
      </c>
      <c r="L169" t="s">
        <v>82</v>
      </c>
      <c r="M169" t="s">
        <v>82</v>
      </c>
      <c r="N169" t="s">
        <v>82</v>
      </c>
      <c r="O169" t="s">
        <v>82</v>
      </c>
      <c r="P169" t="s">
        <v>82</v>
      </c>
      <c r="Q169" t="s">
        <v>82</v>
      </c>
      <c r="R169" t="s">
        <v>82</v>
      </c>
      <c r="S169" t="s">
        <v>82</v>
      </c>
      <c r="T169" t="s">
        <v>82</v>
      </c>
      <c r="U169" t="s">
        <v>82</v>
      </c>
      <c r="V169" t="s">
        <v>82</v>
      </c>
      <c r="W169">
        <v>2.173</v>
      </c>
      <c r="X169">
        <v>2.512</v>
      </c>
      <c r="Y169">
        <v>2.7850000000000001</v>
      </c>
      <c r="Z169">
        <v>2.1469999999999998</v>
      </c>
      <c r="AA169">
        <v>2.4830000000000001</v>
      </c>
      <c r="AB169">
        <v>5.1689999999999996</v>
      </c>
      <c r="AC169">
        <v>5.1989999999999998</v>
      </c>
      <c r="AD169">
        <v>9.984</v>
      </c>
      <c r="AE169">
        <v>8.7379999999999995</v>
      </c>
      <c r="AF169">
        <v>8.7720000000000002</v>
      </c>
      <c r="AG169">
        <v>9.2089999999999996</v>
      </c>
      <c r="AH169">
        <v>10.015000000000001</v>
      </c>
      <c r="AI169">
        <v>12.066000000000001</v>
      </c>
      <c r="AJ169">
        <v>12.736000000000001</v>
      </c>
      <c r="AK169">
        <v>16.637</v>
      </c>
      <c r="AL169">
        <v>14.706</v>
      </c>
      <c r="AM169">
        <v>14.609</v>
      </c>
      <c r="AN169">
        <v>11.57</v>
      </c>
      <c r="AO169">
        <v>17.369</v>
      </c>
      <c r="AP169">
        <v>15.824999999999999</v>
      </c>
      <c r="AQ169">
        <v>11.827999999999999</v>
      </c>
      <c r="AR169">
        <v>10.842000000000001</v>
      </c>
      <c r="AS169">
        <v>10.984999999999999</v>
      </c>
      <c r="AT169">
        <v>10.818</v>
      </c>
      <c r="AU169">
        <v>11.243</v>
      </c>
      <c r="AV169">
        <v>11.673</v>
      </c>
      <c r="AW169">
        <v>12.188000000000001</v>
      </c>
    </row>
    <row r="170" spans="1:49" x14ac:dyDescent="0.35">
      <c r="A170" t="s">
        <v>143</v>
      </c>
      <c r="B170" t="s">
        <v>110</v>
      </c>
      <c r="C170" t="s">
        <v>111</v>
      </c>
      <c r="D170" t="s">
        <v>31</v>
      </c>
      <c r="E170" t="s">
        <v>32</v>
      </c>
      <c r="F170" t="s">
        <v>148</v>
      </c>
      <c r="G170" t="s">
        <v>82</v>
      </c>
      <c r="H170" t="s">
        <v>82</v>
      </c>
      <c r="I170" t="s">
        <v>82</v>
      </c>
      <c r="J170" t="s">
        <v>82</v>
      </c>
      <c r="K170" t="s">
        <v>82</v>
      </c>
      <c r="L170" t="s">
        <v>82</v>
      </c>
      <c r="M170" t="s">
        <v>82</v>
      </c>
      <c r="N170" t="s">
        <v>82</v>
      </c>
      <c r="O170" t="s">
        <v>82</v>
      </c>
      <c r="P170" t="s">
        <v>82</v>
      </c>
      <c r="Q170" t="s">
        <v>82</v>
      </c>
      <c r="R170" t="s">
        <v>82</v>
      </c>
      <c r="S170" t="s">
        <v>82</v>
      </c>
      <c r="T170" t="s">
        <v>82</v>
      </c>
      <c r="U170" t="s">
        <v>82</v>
      </c>
      <c r="V170" t="s">
        <v>82</v>
      </c>
      <c r="W170">
        <v>-7.1999999999999995E-2</v>
      </c>
      <c r="X170">
        <v>-0.36499999999999999</v>
      </c>
      <c r="Y170">
        <v>-0.68600000000000005</v>
      </c>
      <c r="Z170">
        <v>-3.0979999999999999</v>
      </c>
      <c r="AA170">
        <v>-24.312999999999999</v>
      </c>
      <c r="AB170">
        <v>-48.722000000000001</v>
      </c>
      <c r="AC170">
        <v>-9.2889999999999997</v>
      </c>
      <c r="AD170">
        <v>-182.62</v>
      </c>
      <c r="AE170">
        <v>-70.790999999999997</v>
      </c>
      <c r="AF170">
        <v>33.670999999999999</v>
      </c>
      <c r="AG170">
        <v>67.926000000000002</v>
      </c>
      <c r="AH170">
        <v>34.323999999999998</v>
      </c>
      <c r="AI170">
        <v>-57.198999999999998</v>
      </c>
      <c r="AJ170">
        <v>139.185</v>
      </c>
      <c r="AK170">
        <v>-196.21100000000001</v>
      </c>
      <c r="AL170">
        <v>-234.684</v>
      </c>
      <c r="AM170">
        <v>471.673</v>
      </c>
      <c r="AN170">
        <v>917.66200000000003</v>
      </c>
      <c r="AO170">
        <v>409.291</v>
      </c>
      <c r="AP170">
        <v>330.06799999999998</v>
      </c>
      <c r="AQ170">
        <v>55.438000000000002</v>
      </c>
      <c r="AR170">
        <v>-168.61099999999999</v>
      </c>
      <c r="AS170">
        <v>569.86699999999996</v>
      </c>
      <c r="AT170" s="27">
        <v>1077.21</v>
      </c>
      <c r="AU170" s="27">
        <v>1623.69</v>
      </c>
      <c r="AV170" s="27">
        <v>1993.7</v>
      </c>
      <c r="AW170" s="27">
        <v>2560.7399999999998</v>
      </c>
    </row>
    <row r="171" spans="1:49" x14ac:dyDescent="0.35">
      <c r="A171" t="s">
        <v>143</v>
      </c>
      <c r="B171" t="s">
        <v>110</v>
      </c>
      <c r="C171" t="s">
        <v>111</v>
      </c>
      <c r="D171" t="s">
        <v>70</v>
      </c>
      <c r="F171" t="s">
        <v>112</v>
      </c>
      <c r="G171" t="s">
        <v>82</v>
      </c>
      <c r="H171" t="s">
        <v>82</v>
      </c>
      <c r="I171" t="s">
        <v>82</v>
      </c>
      <c r="J171" t="s">
        <v>82</v>
      </c>
      <c r="K171" t="s">
        <v>82</v>
      </c>
      <c r="L171" t="s">
        <v>82</v>
      </c>
      <c r="M171" t="s">
        <v>82</v>
      </c>
      <c r="N171" t="s">
        <v>82</v>
      </c>
      <c r="O171" t="s">
        <v>82</v>
      </c>
      <c r="P171" t="s">
        <v>82</v>
      </c>
      <c r="Q171" t="s">
        <v>82</v>
      </c>
      <c r="R171" t="s">
        <v>82</v>
      </c>
      <c r="S171" t="s">
        <v>82</v>
      </c>
      <c r="T171" t="s">
        <v>82</v>
      </c>
      <c r="U171" t="s">
        <v>82</v>
      </c>
      <c r="V171" t="s">
        <v>82</v>
      </c>
      <c r="W171">
        <v>-0.56200000000000006</v>
      </c>
      <c r="X171">
        <v>-1.056</v>
      </c>
      <c r="Y171">
        <v>-1.548</v>
      </c>
      <c r="Z171">
        <v>-1.3480000000000001</v>
      </c>
      <c r="AA171">
        <v>-1.8460000000000001</v>
      </c>
      <c r="AB171">
        <v>-2.1829999999999998</v>
      </c>
      <c r="AC171">
        <v>-0.307</v>
      </c>
      <c r="AD171">
        <v>-5.04</v>
      </c>
      <c r="AE171">
        <v>-1.7210000000000001</v>
      </c>
      <c r="AF171">
        <v>0.59399999999999997</v>
      </c>
      <c r="AG171">
        <v>1.0149999999999999</v>
      </c>
      <c r="AH171">
        <v>0.40600000000000003</v>
      </c>
      <c r="AI171">
        <v>-0.53200000000000003</v>
      </c>
      <c r="AJ171">
        <v>0.94099999999999995</v>
      </c>
      <c r="AK171">
        <v>-1.0489999999999999</v>
      </c>
      <c r="AL171">
        <v>-1.0389999999999999</v>
      </c>
      <c r="AM171">
        <v>1.861</v>
      </c>
      <c r="AN171">
        <v>3.0539999999999998</v>
      </c>
      <c r="AO171">
        <v>1.232</v>
      </c>
      <c r="AP171">
        <v>0.92700000000000005</v>
      </c>
      <c r="AQ171">
        <v>0.13100000000000001</v>
      </c>
      <c r="AR171">
        <v>-0.27500000000000002</v>
      </c>
      <c r="AS171">
        <v>0.626</v>
      </c>
      <c r="AT171">
        <v>0.85399999999999998</v>
      </c>
      <c r="AU171">
        <v>0.998</v>
      </c>
      <c r="AV171">
        <v>1.026</v>
      </c>
      <c r="AW171">
        <v>1.1439999999999999</v>
      </c>
    </row>
    <row r="172" spans="1:49" x14ac:dyDescent="0.35">
      <c r="A172" t="s">
        <v>143</v>
      </c>
      <c r="B172" t="s">
        <v>113</v>
      </c>
      <c r="C172" t="s">
        <v>114</v>
      </c>
      <c r="D172" t="s">
        <v>31</v>
      </c>
      <c r="E172" t="s">
        <v>32</v>
      </c>
    </row>
    <row r="173" spans="1:49" x14ac:dyDescent="0.35">
      <c r="A173" t="s">
        <v>143</v>
      </c>
      <c r="B173" t="s">
        <v>113</v>
      </c>
      <c r="C173" t="s">
        <v>114</v>
      </c>
      <c r="D173" t="s">
        <v>61</v>
      </c>
    </row>
    <row r="174" spans="1:49" x14ac:dyDescent="0.35">
      <c r="A174" t="s">
        <v>143</v>
      </c>
      <c r="B174" t="s">
        <v>115</v>
      </c>
      <c r="C174" t="s">
        <v>116</v>
      </c>
      <c r="D174" t="s">
        <v>31</v>
      </c>
      <c r="E174" t="s">
        <v>32</v>
      </c>
      <c r="F174" t="s">
        <v>148</v>
      </c>
      <c r="G174" t="s">
        <v>82</v>
      </c>
      <c r="H174" t="s">
        <v>82</v>
      </c>
      <c r="I174" t="s">
        <v>82</v>
      </c>
      <c r="J174" t="s">
        <v>82</v>
      </c>
      <c r="K174" t="s">
        <v>82</v>
      </c>
      <c r="L174" t="s">
        <v>82</v>
      </c>
      <c r="M174" t="s">
        <v>82</v>
      </c>
      <c r="N174" t="s">
        <v>82</v>
      </c>
      <c r="O174" t="s">
        <v>82</v>
      </c>
      <c r="P174" t="s">
        <v>82</v>
      </c>
      <c r="Q174" t="s">
        <v>82</v>
      </c>
      <c r="R174" t="s">
        <v>82</v>
      </c>
      <c r="S174" t="s">
        <v>82</v>
      </c>
      <c r="T174" t="s">
        <v>82</v>
      </c>
      <c r="U174" t="s">
        <v>82</v>
      </c>
      <c r="V174" t="s">
        <v>82</v>
      </c>
      <c r="W174">
        <v>1.4999999999999999E-2</v>
      </c>
      <c r="X174">
        <v>-0.161</v>
      </c>
      <c r="Y174">
        <v>-0.28299999999999997</v>
      </c>
      <c r="Z174">
        <v>-1.982</v>
      </c>
      <c r="AA174">
        <v>-18.14</v>
      </c>
      <c r="AB174">
        <v>-29.19</v>
      </c>
      <c r="AC174">
        <v>6.0469999999999997</v>
      </c>
      <c r="AD174">
        <v>-72.486999999999995</v>
      </c>
      <c r="AE174">
        <v>-11.500999999999999</v>
      </c>
      <c r="AF174">
        <v>61.442999999999998</v>
      </c>
      <c r="AG174">
        <v>101.149</v>
      </c>
      <c r="AH174">
        <v>76.191999999999993</v>
      </c>
      <c r="AI174">
        <v>-9.7899999999999991</v>
      </c>
      <c r="AJ174">
        <v>188.16300000000001</v>
      </c>
      <c r="AK174">
        <v>-139.45699999999999</v>
      </c>
      <c r="AL174">
        <v>-64.84</v>
      </c>
      <c r="AM174">
        <v>629.79</v>
      </c>
      <c r="AN174" s="27">
        <v>1072.8699999999999</v>
      </c>
      <c r="AO174">
        <v>527.19500000000005</v>
      </c>
      <c r="AP174">
        <v>444.21499999999997</v>
      </c>
      <c r="AQ174">
        <v>158.51499999999999</v>
      </c>
      <c r="AR174">
        <v>36.670999999999999</v>
      </c>
      <c r="AS174">
        <v>852.702</v>
      </c>
      <c r="AT174" s="27">
        <v>1450.83</v>
      </c>
      <c r="AU174" s="27">
        <v>2113.87</v>
      </c>
      <c r="AV174" s="27">
        <v>2594.65</v>
      </c>
      <c r="AW174" s="27">
        <v>3281.5</v>
      </c>
    </row>
    <row r="175" spans="1:49" x14ac:dyDescent="0.35">
      <c r="A175" t="s">
        <v>143</v>
      </c>
      <c r="B175" t="s">
        <v>115</v>
      </c>
      <c r="C175" t="s">
        <v>116</v>
      </c>
      <c r="D175" t="s">
        <v>70</v>
      </c>
      <c r="F175" t="s">
        <v>117</v>
      </c>
      <c r="G175" t="s">
        <v>82</v>
      </c>
      <c r="H175" t="s">
        <v>82</v>
      </c>
      <c r="I175" t="s">
        <v>82</v>
      </c>
      <c r="J175" t="s">
        <v>82</v>
      </c>
      <c r="K175" t="s">
        <v>82</v>
      </c>
      <c r="L175" t="s">
        <v>82</v>
      </c>
      <c r="M175" t="s">
        <v>82</v>
      </c>
      <c r="N175" t="s">
        <v>82</v>
      </c>
      <c r="O175" t="s">
        <v>82</v>
      </c>
      <c r="P175" t="s">
        <v>82</v>
      </c>
      <c r="Q175" t="s">
        <v>82</v>
      </c>
      <c r="R175" t="s">
        <v>82</v>
      </c>
      <c r="S175" t="s">
        <v>82</v>
      </c>
      <c r="T175" t="s">
        <v>82</v>
      </c>
      <c r="U175" t="s">
        <v>82</v>
      </c>
      <c r="V175" t="s">
        <v>82</v>
      </c>
      <c r="W175">
        <v>0.11600000000000001</v>
      </c>
      <c r="X175">
        <v>-0.46600000000000003</v>
      </c>
      <c r="Y175">
        <v>-0.63900000000000001</v>
      </c>
      <c r="Z175">
        <v>-0.86299999999999999</v>
      </c>
      <c r="AA175">
        <v>-1.377</v>
      </c>
      <c r="AB175">
        <v>-1.3080000000000001</v>
      </c>
      <c r="AC175">
        <v>0.2</v>
      </c>
      <c r="AD175">
        <v>-2.0009999999999999</v>
      </c>
      <c r="AE175">
        <v>-0.28000000000000003</v>
      </c>
      <c r="AF175">
        <v>1.0840000000000001</v>
      </c>
      <c r="AG175">
        <v>1.5109999999999999</v>
      </c>
      <c r="AH175">
        <v>0.90100000000000002</v>
      </c>
      <c r="AI175">
        <v>-9.0999999999999998E-2</v>
      </c>
      <c r="AJ175">
        <v>1.272</v>
      </c>
      <c r="AK175">
        <v>-0.746</v>
      </c>
      <c r="AL175">
        <v>-0.28699999999999998</v>
      </c>
      <c r="AM175">
        <v>2.4849999999999999</v>
      </c>
      <c r="AN175">
        <v>3.57</v>
      </c>
      <c r="AO175">
        <v>1.587</v>
      </c>
      <c r="AP175">
        <v>1.248</v>
      </c>
      <c r="AQ175">
        <v>0.376</v>
      </c>
      <c r="AR175">
        <v>0.06</v>
      </c>
      <c r="AS175">
        <v>0.93700000000000006</v>
      </c>
      <c r="AT175">
        <v>1.1499999999999999</v>
      </c>
      <c r="AU175">
        <v>1.2989999999999999</v>
      </c>
      <c r="AV175">
        <v>1.335</v>
      </c>
      <c r="AW175">
        <v>1.466</v>
      </c>
    </row>
    <row r="176" spans="1:49" x14ac:dyDescent="0.35">
      <c r="A176" t="s">
        <v>143</v>
      </c>
      <c r="B176" t="s">
        <v>118</v>
      </c>
      <c r="C176" t="s">
        <v>119</v>
      </c>
      <c r="D176" t="s">
        <v>31</v>
      </c>
      <c r="E176" t="s">
        <v>32</v>
      </c>
    </row>
    <row r="177" spans="1:49" x14ac:dyDescent="0.35">
      <c r="A177" t="s">
        <v>143</v>
      </c>
      <c r="B177" t="s">
        <v>118</v>
      </c>
      <c r="C177" t="s">
        <v>119</v>
      </c>
      <c r="D177" t="s">
        <v>70</v>
      </c>
    </row>
    <row r="178" spans="1:49" x14ac:dyDescent="0.35">
      <c r="A178" t="s">
        <v>143</v>
      </c>
      <c r="B178" t="s">
        <v>120</v>
      </c>
      <c r="C178" t="s">
        <v>121</v>
      </c>
      <c r="D178" t="s">
        <v>31</v>
      </c>
      <c r="E178" t="s">
        <v>32</v>
      </c>
      <c r="F178" t="s">
        <v>148</v>
      </c>
      <c r="G178" t="s">
        <v>82</v>
      </c>
      <c r="H178" t="s">
        <v>82</v>
      </c>
      <c r="I178" t="s">
        <v>82</v>
      </c>
      <c r="J178" t="s">
        <v>82</v>
      </c>
      <c r="K178" t="s">
        <v>82</v>
      </c>
      <c r="L178" t="s">
        <v>82</v>
      </c>
      <c r="M178" t="s">
        <v>82</v>
      </c>
      <c r="N178" t="s">
        <v>82</v>
      </c>
      <c r="O178" t="s">
        <v>82</v>
      </c>
      <c r="P178" t="s">
        <v>82</v>
      </c>
      <c r="Q178" t="s">
        <v>82</v>
      </c>
      <c r="R178" t="s">
        <v>82</v>
      </c>
      <c r="S178" t="s">
        <v>82</v>
      </c>
      <c r="T178" t="s">
        <v>82</v>
      </c>
      <c r="U178" t="s">
        <v>82</v>
      </c>
      <c r="V178" t="s">
        <v>82</v>
      </c>
      <c r="W178" t="s">
        <v>82</v>
      </c>
      <c r="X178" t="s">
        <v>82</v>
      </c>
      <c r="Y178" t="s">
        <v>82</v>
      </c>
      <c r="Z178" t="s">
        <v>82</v>
      </c>
      <c r="AA178" s="27">
        <v>1777.82</v>
      </c>
      <c r="AB178" s="27">
        <v>4052.7</v>
      </c>
      <c r="AC178" s="27">
        <v>4116.45</v>
      </c>
      <c r="AD178" s="27">
        <v>4147.32</v>
      </c>
      <c r="AE178" s="27">
        <v>5831.58</v>
      </c>
      <c r="AF178" s="27">
        <v>5753.55</v>
      </c>
      <c r="AG178" s="27">
        <v>6982.78</v>
      </c>
      <c r="AH178" s="27">
        <v>7347.08</v>
      </c>
      <c r="AI178" s="27">
        <v>7928.2</v>
      </c>
      <c r="AJ178" s="27">
        <v>12497.62</v>
      </c>
      <c r="AK178" s="27">
        <v>5773.5</v>
      </c>
      <c r="AL178" s="27">
        <v>5537.72</v>
      </c>
      <c r="AM178" s="27">
        <v>5763.62</v>
      </c>
      <c r="AN178" s="27">
        <v>6016.22</v>
      </c>
      <c r="AO178" s="27">
        <v>5817.43</v>
      </c>
      <c r="AP178" s="27">
        <v>5735.38</v>
      </c>
      <c r="AQ178" s="27">
        <v>7073.73</v>
      </c>
      <c r="AR178" s="27">
        <v>10431.92</v>
      </c>
      <c r="AS178" s="27">
        <v>14352</v>
      </c>
      <c r="AT178" s="27">
        <v>18325.75</v>
      </c>
      <c r="AU178" s="27">
        <v>21588.63</v>
      </c>
      <c r="AV178" s="27">
        <v>23305</v>
      </c>
      <c r="AW178" s="27">
        <v>25148.75</v>
      </c>
    </row>
    <row r="179" spans="1:49" x14ac:dyDescent="0.35">
      <c r="A179" t="s">
        <v>143</v>
      </c>
      <c r="B179" t="s">
        <v>120</v>
      </c>
      <c r="C179" t="s">
        <v>121</v>
      </c>
      <c r="D179" t="s">
        <v>70</v>
      </c>
      <c r="F179" t="s">
        <v>122</v>
      </c>
      <c r="G179" t="s">
        <v>82</v>
      </c>
      <c r="H179" t="s">
        <v>82</v>
      </c>
      <c r="I179" t="s">
        <v>82</v>
      </c>
      <c r="J179" t="s">
        <v>82</v>
      </c>
      <c r="K179" t="s">
        <v>82</v>
      </c>
      <c r="L179" t="s">
        <v>82</v>
      </c>
      <c r="M179" t="s">
        <v>82</v>
      </c>
      <c r="N179" t="s">
        <v>82</v>
      </c>
      <c r="O179" t="s">
        <v>82</v>
      </c>
      <c r="P179" t="s">
        <v>82</v>
      </c>
      <c r="Q179" t="s">
        <v>82</v>
      </c>
      <c r="R179" t="s">
        <v>82</v>
      </c>
      <c r="S179" t="s">
        <v>82</v>
      </c>
      <c r="T179" t="s">
        <v>82</v>
      </c>
      <c r="U179" t="s">
        <v>82</v>
      </c>
      <c r="V179" t="s">
        <v>82</v>
      </c>
      <c r="W179" t="s">
        <v>82</v>
      </c>
      <c r="X179" t="s">
        <v>82</v>
      </c>
      <c r="Y179" t="s">
        <v>82</v>
      </c>
      <c r="Z179" t="s">
        <v>82</v>
      </c>
      <c r="AA179">
        <v>134.982</v>
      </c>
      <c r="AB179">
        <v>181.61699999999999</v>
      </c>
      <c r="AC179">
        <v>136.042</v>
      </c>
      <c r="AD179">
        <v>114.464</v>
      </c>
      <c r="AE179">
        <v>141.762</v>
      </c>
      <c r="AF179">
        <v>101.47199999999999</v>
      </c>
      <c r="AG179">
        <v>104.30200000000001</v>
      </c>
      <c r="AH179">
        <v>86.885000000000005</v>
      </c>
      <c r="AI179">
        <v>73.807000000000002</v>
      </c>
      <c r="AJ179">
        <v>84.507000000000005</v>
      </c>
      <c r="AK179">
        <v>30.876000000000001</v>
      </c>
      <c r="AL179">
        <v>24.504999999999999</v>
      </c>
      <c r="AM179">
        <v>22.742000000000001</v>
      </c>
      <c r="AN179">
        <v>20.02</v>
      </c>
      <c r="AO179">
        <v>17.510000000000002</v>
      </c>
      <c r="AP179">
        <v>16.114000000000001</v>
      </c>
      <c r="AQ179">
        <v>16.777999999999999</v>
      </c>
      <c r="AR179">
        <v>16.992999999999999</v>
      </c>
      <c r="AS179">
        <v>15.763999999999999</v>
      </c>
      <c r="AT179">
        <v>14.528</v>
      </c>
      <c r="AU179">
        <v>13.269</v>
      </c>
      <c r="AV179">
        <v>11.988</v>
      </c>
      <c r="AW179">
        <v>11.233000000000001</v>
      </c>
    </row>
    <row r="180" spans="1:49" x14ac:dyDescent="0.35">
      <c r="A180" t="s">
        <v>143</v>
      </c>
      <c r="B180" t="s">
        <v>123</v>
      </c>
      <c r="C180" t="s">
        <v>124</v>
      </c>
      <c r="D180" t="s">
        <v>31</v>
      </c>
      <c r="E180" t="s">
        <v>32</v>
      </c>
      <c r="F180" t="s">
        <v>148</v>
      </c>
      <c r="G180" t="s">
        <v>39</v>
      </c>
      <c r="H180" t="s">
        <v>39</v>
      </c>
      <c r="I180" t="s">
        <v>39</v>
      </c>
      <c r="J180" t="s">
        <v>39</v>
      </c>
      <c r="K180" t="s">
        <v>39</v>
      </c>
      <c r="L180" t="s">
        <v>39</v>
      </c>
      <c r="M180" t="s">
        <v>39</v>
      </c>
      <c r="N180" t="s">
        <v>39</v>
      </c>
      <c r="O180" t="s">
        <v>39</v>
      </c>
      <c r="P180" t="s">
        <v>39</v>
      </c>
      <c r="Q180" t="s">
        <v>39</v>
      </c>
      <c r="R180" t="s">
        <v>39</v>
      </c>
      <c r="S180" t="s">
        <v>39</v>
      </c>
      <c r="T180">
        <v>1E-3</v>
      </c>
      <c r="U180">
        <v>0.307</v>
      </c>
      <c r="V180">
        <v>1.758</v>
      </c>
      <c r="W180">
        <v>12.84</v>
      </c>
      <c r="X180">
        <v>34.582000000000001</v>
      </c>
      <c r="Y180">
        <v>44.286999999999999</v>
      </c>
      <c r="Z180">
        <v>229.768</v>
      </c>
      <c r="AA180" s="27">
        <v>1317.08</v>
      </c>
      <c r="AB180" s="27">
        <v>2231.46</v>
      </c>
      <c r="AC180" s="27">
        <v>3025.87</v>
      </c>
      <c r="AD180" s="27">
        <v>3623.25</v>
      </c>
      <c r="AE180" s="27">
        <v>4113.63</v>
      </c>
      <c r="AF180" s="27">
        <v>5670.07</v>
      </c>
      <c r="AG180" s="27">
        <v>6694.74</v>
      </c>
      <c r="AH180" s="27">
        <v>8456.11</v>
      </c>
      <c r="AI180" s="27">
        <v>10741.83</v>
      </c>
      <c r="AJ180" s="27">
        <v>14788.94</v>
      </c>
      <c r="AK180" s="27">
        <v>18698.93</v>
      </c>
      <c r="AL180" s="27">
        <v>22598.15</v>
      </c>
      <c r="AM180" s="27">
        <v>25343.52</v>
      </c>
      <c r="AN180" s="27">
        <v>30051.18</v>
      </c>
      <c r="AO180" s="27">
        <v>33224.019999999997</v>
      </c>
      <c r="AP180" s="27">
        <v>35591.64</v>
      </c>
      <c r="AQ180" s="27">
        <v>42160.85</v>
      </c>
      <c r="AR180" s="27">
        <v>61388.41</v>
      </c>
      <c r="AS180" s="27">
        <v>91040.15</v>
      </c>
      <c r="AT180" s="27">
        <v>126143.66</v>
      </c>
      <c r="AU180" s="27">
        <v>162700.53</v>
      </c>
      <c r="AV180" s="27">
        <v>194394.71</v>
      </c>
      <c r="AW180" s="27">
        <v>223887.79</v>
      </c>
    </row>
    <row r="181" spans="1:49" x14ac:dyDescent="0.35">
      <c r="A181" t="s">
        <v>143</v>
      </c>
      <c r="B181" t="s">
        <v>125</v>
      </c>
      <c r="C181" t="s">
        <v>126</v>
      </c>
      <c r="D181" t="s">
        <v>41</v>
      </c>
      <c r="E181" t="s">
        <v>32</v>
      </c>
      <c r="F181" t="s">
        <v>149</v>
      </c>
      <c r="G181">
        <v>-0.254</v>
      </c>
      <c r="H181">
        <v>-0.52700000000000002</v>
      </c>
      <c r="I181">
        <v>-0.52</v>
      </c>
      <c r="J181">
        <v>-0.28899999999999998</v>
      </c>
      <c r="K181">
        <v>3.5999999999999997E-2</v>
      </c>
      <c r="L181">
        <v>-9.1999999999999998E-2</v>
      </c>
      <c r="M181">
        <v>-0.44400000000000001</v>
      </c>
      <c r="N181">
        <v>-1.0880000000000001</v>
      </c>
      <c r="O181">
        <v>-0.58499999999999996</v>
      </c>
      <c r="P181">
        <v>-0.86199999999999999</v>
      </c>
      <c r="Q181">
        <v>-0.71499999999999997</v>
      </c>
      <c r="R181">
        <v>-0.94399999999999995</v>
      </c>
      <c r="S181">
        <v>-0.75700000000000001</v>
      </c>
      <c r="T181">
        <v>-0.373</v>
      </c>
      <c r="U181">
        <v>-0.27800000000000002</v>
      </c>
      <c r="V181">
        <v>1.4999999999999999E-2</v>
      </c>
      <c r="W181">
        <v>-3.6999999999999998E-2</v>
      </c>
      <c r="X181">
        <v>-0.2</v>
      </c>
      <c r="Y181">
        <v>-0.42599999999999999</v>
      </c>
      <c r="Z181">
        <v>-0.113</v>
      </c>
      <c r="AA181">
        <v>8.5999999999999993E-2</v>
      </c>
      <c r="AB181">
        <v>0.24099999999999999</v>
      </c>
      <c r="AC181">
        <v>0.41799999999999998</v>
      </c>
      <c r="AD181">
        <v>0.18099999999999999</v>
      </c>
      <c r="AE181">
        <v>-5.5E-2</v>
      </c>
      <c r="AF181">
        <v>-0.38900000000000001</v>
      </c>
      <c r="AG181">
        <v>4.8000000000000001E-2</v>
      </c>
      <c r="AH181">
        <v>0.52700000000000002</v>
      </c>
      <c r="AI181">
        <v>-0.151</v>
      </c>
      <c r="AJ181">
        <v>-1.123</v>
      </c>
      <c r="AK181">
        <v>-2.1739999999999999</v>
      </c>
      <c r="AL181">
        <v>-1.2809999999999999</v>
      </c>
      <c r="AM181">
        <v>-1.26</v>
      </c>
      <c r="AN181">
        <v>-1.7110000000000001</v>
      </c>
      <c r="AO181">
        <v>-1.7210000000000001</v>
      </c>
      <c r="AP181">
        <v>-1.4850000000000001</v>
      </c>
      <c r="AQ181">
        <v>-1.3340000000000001</v>
      </c>
      <c r="AR181">
        <v>-1.849</v>
      </c>
      <c r="AS181">
        <v>-0.88100000000000001</v>
      </c>
      <c r="AT181">
        <v>-1.4470000000000001</v>
      </c>
      <c r="AU181">
        <v>-1.452</v>
      </c>
      <c r="AV181">
        <v>-0.96799999999999997</v>
      </c>
      <c r="AW181">
        <v>-0.98099999999999998</v>
      </c>
    </row>
    <row r="182" spans="1:49" x14ac:dyDescent="0.35">
      <c r="A182" t="s">
        <v>143</v>
      </c>
      <c r="B182" t="s">
        <v>125</v>
      </c>
      <c r="C182" t="s">
        <v>126</v>
      </c>
      <c r="D182" t="s">
        <v>70</v>
      </c>
      <c r="F182" t="s">
        <v>128</v>
      </c>
      <c r="G182">
        <v>-0.37</v>
      </c>
      <c r="H182">
        <v>-0.88300000000000001</v>
      </c>
      <c r="I182">
        <v>-0.8</v>
      </c>
      <c r="J182">
        <v>-0.55100000000000005</v>
      </c>
      <c r="K182">
        <v>0.10199999999999999</v>
      </c>
      <c r="L182">
        <v>-0.28799999999999998</v>
      </c>
      <c r="M182">
        <v>-1.238</v>
      </c>
      <c r="N182">
        <v>-3.2050000000000001</v>
      </c>
      <c r="O182">
        <v>-1.4890000000000001</v>
      </c>
      <c r="P182">
        <v>-2.1549999999999998</v>
      </c>
      <c r="Q182">
        <v>-1.726</v>
      </c>
      <c r="R182">
        <v>-2.3460000000000001</v>
      </c>
      <c r="S182">
        <v>-2.085</v>
      </c>
      <c r="T182">
        <v>-0.78600000000000003</v>
      </c>
      <c r="U182">
        <v>-1.079</v>
      </c>
      <c r="V182">
        <v>6.0999999999999999E-2</v>
      </c>
      <c r="W182">
        <v>-0.11600000000000001</v>
      </c>
      <c r="X182">
        <v>-0.69499999999999995</v>
      </c>
      <c r="Y182">
        <v>-2.0209999999999999</v>
      </c>
      <c r="Z182">
        <v>-0.58799999999999997</v>
      </c>
      <c r="AA182">
        <v>0.45</v>
      </c>
      <c r="AB182">
        <v>2.9529999999999998</v>
      </c>
      <c r="AC182">
        <v>4.7939999999999996</v>
      </c>
      <c r="AD182">
        <v>2.0190000000000001</v>
      </c>
      <c r="AE182">
        <v>-0.53600000000000003</v>
      </c>
      <c r="AF182">
        <v>-3.2519999999999998</v>
      </c>
      <c r="AG182">
        <v>0.33400000000000002</v>
      </c>
      <c r="AH182">
        <v>3.22</v>
      </c>
      <c r="AI182">
        <v>-0.78900000000000003</v>
      </c>
      <c r="AJ182">
        <v>-6.1319999999999997</v>
      </c>
      <c r="AK182">
        <v>-10.53</v>
      </c>
      <c r="AL182">
        <v>-5.2110000000000003</v>
      </c>
      <c r="AM182">
        <v>-4.5720000000000001</v>
      </c>
      <c r="AN182">
        <v>-5.2380000000000004</v>
      </c>
      <c r="AO182">
        <v>-4.7930000000000001</v>
      </c>
      <c r="AP182">
        <v>-3.8660000000000001</v>
      </c>
      <c r="AQ182">
        <v>-3.3919999999999999</v>
      </c>
      <c r="AR182">
        <v>-4.5739999999999998</v>
      </c>
      <c r="AS182">
        <v>-2.1160000000000001</v>
      </c>
      <c r="AT182">
        <v>-3.3660000000000001</v>
      </c>
      <c r="AU182">
        <v>-3.258</v>
      </c>
      <c r="AV182">
        <v>-2.08</v>
      </c>
      <c r="AW182">
        <v>-2.0139999999999998</v>
      </c>
    </row>
    <row r="183" spans="1:49" x14ac:dyDescent="0.35">
      <c r="A183" t="s">
        <v>150</v>
      </c>
      <c r="B183" t="s">
        <v>29</v>
      </c>
      <c r="C183" t="s">
        <v>30</v>
      </c>
      <c r="D183" t="s">
        <v>31</v>
      </c>
      <c r="E183" t="s">
        <v>32</v>
      </c>
      <c r="F183" t="s">
        <v>151</v>
      </c>
      <c r="G183">
        <v>5.9349999999999996</v>
      </c>
      <c r="H183">
        <v>6.117</v>
      </c>
      <c r="I183">
        <v>6.4569999999999999</v>
      </c>
      <c r="J183">
        <v>6.65</v>
      </c>
      <c r="K183">
        <v>6.9379999999999997</v>
      </c>
      <c r="L183">
        <v>7.1669999999999998</v>
      </c>
      <c r="M183">
        <v>7.4589999999999996</v>
      </c>
      <c r="N183">
        <v>7.6189999999999998</v>
      </c>
      <c r="O183">
        <v>8.2080000000000002</v>
      </c>
      <c r="P183">
        <v>8.6609999999999996</v>
      </c>
      <c r="Q183">
        <v>9.1110000000000007</v>
      </c>
      <c r="R183">
        <v>9.5449999999999999</v>
      </c>
      <c r="S183">
        <v>10.138999999999999</v>
      </c>
      <c r="T183">
        <v>10.529</v>
      </c>
      <c r="U183">
        <v>11</v>
      </c>
      <c r="V183">
        <v>11.31</v>
      </c>
      <c r="W183">
        <v>11.867000000000001</v>
      </c>
      <c r="X183">
        <v>12.28</v>
      </c>
      <c r="Y183">
        <v>12.452</v>
      </c>
      <c r="Z183">
        <v>12.65</v>
      </c>
      <c r="AA183">
        <v>13.271000000000001</v>
      </c>
      <c r="AB183">
        <v>13.705</v>
      </c>
      <c r="AC183">
        <v>13.920999999999999</v>
      </c>
      <c r="AD183">
        <v>14.488</v>
      </c>
      <c r="AE183">
        <v>14.835000000000001</v>
      </c>
      <c r="AF183">
        <v>15.297000000000001</v>
      </c>
      <c r="AG183">
        <v>15.973000000000001</v>
      </c>
      <c r="AH183">
        <v>16.77</v>
      </c>
      <c r="AI183">
        <v>17.628</v>
      </c>
      <c r="AJ183">
        <v>18.425000000000001</v>
      </c>
      <c r="AK183">
        <v>19.692</v>
      </c>
      <c r="AL183">
        <v>20.582000000000001</v>
      </c>
      <c r="AM183">
        <v>21.67</v>
      </c>
      <c r="AN183">
        <v>22.443999999999999</v>
      </c>
      <c r="AO183">
        <v>23.218</v>
      </c>
      <c r="AP183">
        <v>23.805</v>
      </c>
      <c r="AQ183">
        <v>24.367000000000001</v>
      </c>
      <c r="AR183">
        <v>25.497</v>
      </c>
      <c r="AS183">
        <v>26.286999999999999</v>
      </c>
      <c r="AT183">
        <v>27.446000000000002</v>
      </c>
      <c r="AU183">
        <v>28.675000000000001</v>
      </c>
      <c r="AV183">
        <v>30.128</v>
      </c>
      <c r="AW183">
        <v>31.82</v>
      </c>
    </row>
    <row r="184" spans="1:49" x14ac:dyDescent="0.35">
      <c r="A184" t="s">
        <v>150</v>
      </c>
      <c r="B184" t="s">
        <v>29</v>
      </c>
      <c r="C184" t="s">
        <v>34</v>
      </c>
      <c r="D184" t="s">
        <v>35</v>
      </c>
      <c r="F184" t="s">
        <v>36</v>
      </c>
      <c r="G184">
        <v>-0.82499999999999996</v>
      </c>
      <c r="H184">
        <v>3.0790000000000002</v>
      </c>
      <c r="I184">
        <v>5.556</v>
      </c>
      <c r="J184">
        <v>2.98</v>
      </c>
      <c r="K184">
        <v>4.3289999999999997</v>
      </c>
      <c r="L184">
        <v>3.3090000000000002</v>
      </c>
      <c r="M184">
        <v>4.0720000000000001</v>
      </c>
      <c r="N184">
        <v>2.14</v>
      </c>
      <c r="O184">
        <v>7.7380000000000004</v>
      </c>
      <c r="P184">
        <v>5.52</v>
      </c>
      <c r="Q184">
        <v>5.1909999999999998</v>
      </c>
      <c r="R184">
        <v>4.7670000000000003</v>
      </c>
      <c r="S184">
        <v>6.2220000000000004</v>
      </c>
      <c r="T184">
        <v>3.847</v>
      </c>
      <c r="U184">
        <v>4.4749999999999996</v>
      </c>
      <c r="V184">
        <v>2.8140000000000001</v>
      </c>
      <c r="W184">
        <v>4.9210000000000003</v>
      </c>
      <c r="X184">
        <v>3.4820000000000002</v>
      </c>
      <c r="Y184">
        <v>1.4039999999999999</v>
      </c>
      <c r="Z184">
        <v>1.59</v>
      </c>
      <c r="AA184">
        <v>4.9039999999999999</v>
      </c>
      <c r="AB184">
        <v>3.2759999999999998</v>
      </c>
      <c r="AC184">
        <v>1.5760000000000001</v>
      </c>
      <c r="AD184">
        <v>4.0709999999999997</v>
      </c>
      <c r="AE184">
        <v>2.3980000000000001</v>
      </c>
      <c r="AF184">
        <v>3.1120000000000001</v>
      </c>
      <c r="AG184">
        <v>4.4169999999999998</v>
      </c>
      <c r="AH184">
        <v>4.9930000000000003</v>
      </c>
      <c r="AI184">
        <v>5.1150000000000002</v>
      </c>
      <c r="AJ184">
        <v>4.5190000000000001</v>
      </c>
      <c r="AK184">
        <v>6.8780000000000001</v>
      </c>
      <c r="AL184">
        <v>4.5199999999999996</v>
      </c>
      <c r="AM184">
        <v>5.282</v>
      </c>
      <c r="AN184">
        <v>3.5760000000000001</v>
      </c>
      <c r="AO184">
        <v>3.448</v>
      </c>
      <c r="AP184">
        <v>2.528</v>
      </c>
      <c r="AQ184">
        <v>2.36</v>
      </c>
      <c r="AR184">
        <v>4.6360000000000001</v>
      </c>
      <c r="AS184">
        <v>3.1</v>
      </c>
      <c r="AT184">
        <v>4.4080000000000004</v>
      </c>
      <c r="AU184">
        <v>4.4770000000000003</v>
      </c>
      <c r="AV184">
        <v>5.069</v>
      </c>
      <c r="AW184">
        <v>5.6139999999999999</v>
      </c>
    </row>
    <row r="185" spans="1:49" x14ac:dyDescent="0.35">
      <c r="A185" t="s">
        <v>150</v>
      </c>
      <c r="B185" t="s">
        <v>37</v>
      </c>
      <c r="C185" t="s">
        <v>38</v>
      </c>
      <c r="D185" t="s">
        <v>31</v>
      </c>
      <c r="E185" t="s">
        <v>32</v>
      </c>
      <c r="F185" t="s">
        <v>151</v>
      </c>
      <c r="G185">
        <v>0.373</v>
      </c>
      <c r="H185">
        <v>0.42399999999999999</v>
      </c>
      <c r="I185">
        <v>0.439</v>
      </c>
      <c r="J185">
        <v>0.496</v>
      </c>
      <c r="K185">
        <v>0.57399999999999995</v>
      </c>
      <c r="L185">
        <v>0.69799999999999995</v>
      </c>
      <c r="M185">
        <v>0.83</v>
      </c>
      <c r="N185">
        <v>0.97299999999999998</v>
      </c>
      <c r="O185">
        <v>1.234</v>
      </c>
      <c r="P185">
        <v>1.48</v>
      </c>
      <c r="Q185">
        <v>1.7609999999999999</v>
      </c>
      <c r="R185">
        <v>2.1320000000000001</v>
      </c>
      <c r="S185">
        <v>2.5539999999999998</v>
      </c>
      <c r="T185">
        <v>2.923</v>
      </c>
      <c r="U185">
        <v>3.3490000000000002</v>
      </c>
      <c r="V185">
        <v>3.8460000000000001</v>
      </c>
      <c r="W185">
        <v>4.3150000000000004</v>
      </c>
      <c r="X185">
        <v>4.8760000000000003</v>
      </c>
      <c r="Y185">
        <v>5.39</v>
      </c>
      <c r="Z185">
        <v>5.8440000000000003</v>
      </c>
      <c r="AA185">
        <v>6.4550000000000001</v>
      </c>
      <c r="AB185">
        <v>7.3380000000000001</v>
      </c>
      <c r="AC185">
        <v>8.1929999999999996</v>
      </c>
      <c r="AD185">
        <v>8.7379999999999995</v>
      </c>
      <c r="AE185">
        <v>9.5109999999999992</v>
      </c>
      <c r="AF185">
        <v>10.433</v>
      </c>
      <c r="AG185">
        <v>11.744999999999999</v>
      </c>
      <c r="AH185">
        <v>13.773</v>
      </c>
      <c r="AI185">
        <v>16.006</v>
      </c>
      <c r="AJ185">
        <v>17.143999999999998</v>
      </c>
      <c r="AK185">
        <v>19.213000000000001</v>
      </c>
      <c r="AL185">
        <v>21.495999999999999</v>
      </c>
      <c r="AM185">
        <v>23.073</v>
      </c>
      <c r="AN185">
        <v>25.63</v>
      </c>
      <c r="AO185">
        <v>28.074999999999999</v>
      </c>
      <c r="AP185">
        <v>30.387</v>
      </c>
      <c r="AQ185">
        <v>33.31</v>
      </c>
      <c r="AR185">
        <v>37.283999999999999</v>
      </c>
      <c r="AS185">
        <v>40.478999999999999</v>
      </c>
      <c r="AT185">
        <v>44.317</v>
      </c>
      <c r="AU185">
        <v>48.524999999999999</v>
      </c>
      <c r="AV185">
        <v>53.401000000000003</v>
      </c>
      <c r="AW185">
        <v>59.048999999999999</v>
      </c>
    </row>
    <row r="186" spans="1:49" x14ac:dyDescent="0.35">
      <c r="A186" t="s">
        <v>150</v>
      </c>
      <c r="B186" t="s">
        <v>37</v>
      </c>
      <c r="C186" t="s">
        <v>40</v>
      </c>
      <c r="D186" t="s">
        <v>41</v>
      </c>
      <c r="E186" t="s">
        <v>32</v>
      </c>
      <c r="F186" t="s">
        <v>42</v>
      </c>
      <c r="G186">
        <v>0.48</v>
      </c>
      <c r="H186">
        <v>0.48699999999999999</v>
      </c>
      <c r="I186">
        <v>0.40500000000000003</v>
      </c>
      <c r="J186">
        <v>0.44600000000000001</v>
      </c>
      <c r="K186">
        <v>0.39900000000000002</v>
      </c>
      <c r="L186">
        <v>0.31900000000000001</v>
      </c>
      <c r="M186">
        <v>0.36599999999999999</v>
      </c>
      <c r="N186">
        <v>0.47799999999999998</v>
      </c>
      <c r="O186">
        <v>0.54300000000000004</v>
      </c>
      <c r="P186">
        <v>0.56399999999999995</v>
      </c>
      <c r="Q186">
        <v>0.68100000000000005</v>
      </c>
      <c r="R186">
        <v>0.77200000000000002</v>
      </c>
      <c r="S186">
        <v>0.89600000000000002</v>
      </c>
      <c r="T186">
        <v>0.89400000000000002</v>
      </c>
      <c r="U186">
        <v>0.94299999999999995</v>
      </c>
      <c r="V186">
        <v>1.06</v>
      </c>
      <c r="W186">
        <v>1.004</v>
      </c>
      <c r="X186">
        <v>1.0580000000000001</v>
      </c>
      <c r="Y186">
        <v>0.97499999999999998</v>
      </c>
      <c r="Z186">
        <v>0.95699999999999996</v>
      </c>
      <c r="AA186">
        <v>0.93</v>
      </c>
      <c r="AB186">
        <v>0.85299999999999998</v>
      </c>
      <c r="AC186">
        <v>0.77700000000000002</v>
      </c>
      <c r="AD186">
        <v>1.155</v>
      </c>
      <c r="AE186">
        <v>1.472</v>
      </c>
      <c r="AF186">
        <v>1.641</v>
      </c>
      <c r="AG186">
        <v>1.7350000000000001</v>
      </c>
      <c r="AH186">
        <v>1.9550000000000001</v>
      </c>
      <c r="AI186">
        <v>1.9370000000000001</v>
      </c>
      <c r="AJ186">
        <v>2.0230000000000001</v>
      </c>
      <c r="AK186">
        <v>2.6240000000000001</v>
      </c>
      <c r="AL186">
        <v>2.96</v>
      </c>
      <c r="AM186">
        <v>2.81</v>
      </c>
      <c r="AN186">
        <v>2.6549999999999998</v>
      </c>
      <c r="AO186">
        <v>2.5870000000000002</v>
      </c>
      <c r="AP186">
        <v>2.383</v>
      </c>
      <c r="AQ186">
        <v>2.2639999999999998</v>
      </c>
      <c r="AR186">
        <v>2.7210000000000001</v>
      </c>
      <c r="AS186">
        <v>2.8809999999999998</v>
      </c>
      <c r="AT186">
        <v>3.0459999999999998</v>
      </c>
      <c r="AU186">
        <v>3.214</v>
      </c>
      <c r="AV186">
        <v>3.4</v>
      </c>
      <c r="AW186">
        <v>3.6139999999999999</v>
      </c>
    </row>
    <row r="187" spans="1:49" x14ac:dyDescent="0.35">
      <c r="A187" t="s">
        <v>150</v>
      </c>
      <c r="B187" t="s">
        <v>37</v>
      </c>
      <c r="C187" t="s">
        <v>43</v>
      </c>
      <c r="D187" t="s">
        <v>44</v>
      </c>
      <c r="E187" t="s">
        <v>32</v>
      </c>
      <c r="F187" t="s">
        <v>42</v>
      </c>
      <c r="G187">
        <v>0.67900000000000005</v>
      </c>
      <c r="H187">
        <v>0.76500000000000001</v>
      </c>
      <c r="I187">
        <v>0.85699999999999998</v>
      </c>
      <c r="J187">
        <v>0.91800000000000004</v>
      </c>
      <c r="K187">
        <v>0.99199999999999999</v>
      </c>
      <c r="L187">
        <v>1.0569999999999999</v>
      </c>
      <c r="M187">
        <v>1.1220000000000001</v>
      </c>
      <c r="N187">
        <v>1.1759999999999999</v>
      </c>
      <c r="O187">
        <v>1.3109999999999999</v>
      </c>
      <c r="P187">
        <v>1.4370000000000001</v>
      </c>
      <c r="Q187">
        <v>1.5680000000000001</v>
      </c>
      <c r="R187">
        <v>1.6970000000000001</v>
      </c>
      <c r="S187">
        <v>1.8440000000000001</v>
      </c>
      <c r="T187">
        <v>1.96</v>
      </c>
      <c r="U187">
        <v>2.0920000000000001</v>
      </c>
      <c r="V187">
        <v>2.1949999999999998</v>
      </c>
      <c r="W187">
        <v>2.3450000000000002</v>
      </c>
      <c r="X187">
        <v>2.4689999999999999</v>
      </c>
      <c r="Y187">
        <v>2.5299999999999998</v>
      </c>
      <c r="Z187">
        <v>2.61</v>
      </c>
      <c r="AA187">
        <v>2.8</v>
      </c>
      <c r="AB187">
        <v>2.9580000000000002</v>
      </c>
      <c r="AC187">
        <v>3.0510000000000002</v>
      </c>
      <c r="AD187">
        <v>3.238</v>
      </c>
      <c r="AE187">
        <v>3.407</v>
      </c>
      <c r="AF187">
        <v>3.6259999999999999</v>
      </c>
      <c r="AG187">
        <v>3.903</v>
      </c>
      <c r="AH187">
        <v>4.2060000000000004</v>
      </c>
      <c r="AI187">
        <v>4.508</v>
      </c>
      <c r="AJ187">
        <v>4.7480000000000002</v>
      </c>
      <c r="AK187">
        <v>5.1369999999999996</v>
      </c>
      <c r="AL187">
        <v>5.4790000000000001</v>
      </c>
      <c r="AM187">
        <v>5.875</v>
      </c>
      <c r="AN187">
        <v>6.1840000000000002</v>
      </c>
      <c r="AO187">
        <v>6.5119999999999996</v>
      </c>
      <c r="AP187">
        <v>6.7489999999999997</v>
      </c>
      <c r="AQ187">
        <v>6.9960000000000004</v>
      </c>
      <c r="AR187">
        <v>7.4480000000000004</v>
      </c>
      <c r="AS187">
        <v>7.8280000000000003</v>
      </c>
      <c r="AT187">
        <v>8.3469999999999995</v>
      </c>
      <c r="AU187">
        <v>8.9039999999999999</v>
      </c>
      <c r="AV187">
        <v>9.5500000000000007</v>
      </c>
      <c r="AW187">
        <v>10.28</v>
      </c>
    </row>
    <row r="188" spans="1:49" x14ac:dyDescent="0.35">
      <c r="A188" t="s">
        <v>150</v>
      </c>
      <c r="B188" t="s">
        <v>45</v>
      </c>
      <c r="C188" t="s">
        <v>46</v>
      </c>
      <c r="D188" t="s">
        <v>47</v>
      </c>
      <c r="F188" t="s">
        <v>48</v>
      </c>
      <c r="G188">
        <v>6.2880000000000003</v>
      </c>
      <c r="H188">
        <v>6.9260000000000002</v>
      </c>
      <c r="I188">
        <v>6.7919999999999998</v>
      </c>
      <c r="J188">
        <v>7.4530000000000003</v>
      </c>
      <c r="K188">
        <v>8.2680000000000007</v>
      </c>
      <c r="L188">
        <v>9.7420000000000009</v>
      </c>
      <c r="M188">
        <v>11.134</v>
      </c>
      <c r="N188">
        <v>12.776999999999999</v>
      </c>
      <c r="O188">
        <v>15.034000000000001</v>
      </c>
      <c r="P188">
        <v>17.087</v>
      </c>
      <c r="Q188">
        <v>19.329000000000001</v>
      </c>
      <c r="R188">
        <v>22.338999999999999</v>
      </c>
      <c r="S188">
        <v>25.19</v>
      </c>
      <c r="T188">
        <v>27.757999999999999</v>
      </c>
      <c r="U188">
        <v>30.443999999999999</v>
      </c>
      <c r="V188">
        <v>34.003</v>
      </c>
      <c r="W188">
        <v>36.36</v>
      </c>
      <c r="X188">
        <v>39.709000000000003</v>
      </c>
      <c r="Y188">
        <v>43.286999999999999</v>
      </c>
      <c r="Z188">
        <v>46.198999999999998</v>
      </c>
      <c r="AA188">
        <v>48.643000000000001</v>
      </c>
      <c r="AB188">
        <v>53.542999999999999</v>
      </c>
      <c r="AC188">
        <v>58.853999999999999</v>
      </c>
      <c r="AD188">
        <v>60.311</v>
      </c>
      <c r="AE188">
        <v>64.111999999999995</v>
      </c>
      <c r="AF188">
        <v>68.203000000000003</v>
      </c>
      <c r="AG188">
        <v>73.533000000000001</v>
      </c>
      <c r="AH188">
        <v>82.128</v>
      </c>
      <c r="AI188">
        <v>90.796999999999997</v>
      </c>
      <c r="AJ188">
        <v>93.048000000000002</v>
      </c>
      <c r="AK188">
        <v>97.564999999999998</v>
      </c>
      <c r="AL188">
        <v>104.438</v>
      </c>
      <c r="AM188">
        <v>106.47799999999999</v>
      </c>
      <c r="AN188">
        <v>114.194</v>
      </c>
      <c r="AO188">
        <v>120.91800000000001</v>
      </c>
      <c r="AP188">
        <v>127.648</v>
      </c>
      <c r="AQ188">
        <v>136.69900000000001</v>
      </c>
      <c r="AR188">
        <v>146.22999999999999</v>
      </c>
      <c r="AS188">
        <v>153.98699999999999</v>
      </c>
      <c r="AT188">
        <v>161.47</v>
      </c>
      <c r="AU188">
        <v>169.22399999999999</v>
      </c>
      <c r="AV188">
        <v>177.24700000000001</v>
      </c>
      <c r="AW188">
        <v>185.57400000000001</v>
      </c>
    </row>
    <row r="189" spans="1:49" x14ac:dyDescent="0.35">
      <c r="A189" t="s">
        <v>150</v>
      </c>
      <c r="B189" t="s">
        <v>49</v>
      </c>
      <c r="C189" t="s">
        <v>50</v>
      </c>
      <c r="D189" t="s">
        <v>31</v>
      </c>
      <c r="E189" t="s">
        <v>26</v>
      </c>
      <c r="F189" t="s">
        <v>51</v>
      </c>
      <c r="G189" s="27">
        <v>4724.34</v>
      </c>
      <c r="H189" s="27">
        <v>4744.3900000000003</v>
      </c>
      <c r="I189" s="27">
        <v>4882.28</v>
      </c>
      <c r="J189" s="27">
        <v>4901.28</v>
      </c>
      <c r="K189" s="27">
        <v>5209.08</v>
      </c>
      <c r="L189" s="27">
        <v>5257.63</v>
      </c>
      <c r="M189" s="27">
        <v>5338.1</v>
      </c>
      <c r="N189" s="27">
        <v>5208.2700000000004</v>
      </c>
      <c r="O189" s="27">
        <v>5463.18</v>
      </c>
      <c r="P189" s="27">
        <v>5603.1</v>
      </c>
      <c r="Q189" s="27">
        <v>5733.19</v>
      </c>
      <c r="R189" s="27">
        <v>5923.95</v>
      </c>
      <c r="S189" s="27">
        <v>6053.44</v>
      </c>
      <c r="T189" s="27">
        <v>6137.6</v>
      </c>
      <c r="U189" s="27">
        <v>6280.59</v>
      </c>
      <c r="V189" s="27">
        <v>6143.5</v>
      </c>
      <c r="W189" s="27">
        <v>6497.89</v>
      </c>
      <c r="X189" s="27">
        <v>6707.28</v>
      </c>
      <c r="Y189" s="27">
        <v>6784.38</v>
      </c>
      <c r="Z189" s="27">
        <v>6874.95</v>
      </c>
      <c r="AA189" s="27">
        <v>7193.98</v>
      </c>
      <c r="AB189" s="27">
        <v>7410.99</v>
      </c>
      <c r="AC189" s="27">
        <v>7508.9</v>
      </c>
      <c r="AD189" s="27">
        <v>7794.95</v>
      </c>
      <c r="AE189" s="27">
        <v>7961.8</v>
      </c>
      <c r="AF189" s="27">
        <v>8188.95</v>
      </c>
      <c r="AG189" s="27">
        <v>8529.2000000000007</v>
      </c>
      <c r="AH189" s="27">
        <v>8932.56</v>
      </c>
      <c r="AI189" s="27">
        <v>9365.92</v>
      </c>
      <c r="AJ189" s="27">
        <v>9764.6299999999992</v>
      </c>
      <c r="AK189" s="27">
        <v>10410.06</v>
      </c>
      <c r="AL189" s="27">
        <v>10853.25</v>
      </c>
      <c r="AM189" s="27">
        <v>11397.86</v>
      </c>
      <c r="AN189" s="27">
        <v>11775.8</v>
      </c>
      <c r="AO189" s="27">
        <v>12151.21</v>
      </c>
      <c r="AP189" s="27">
        <v>12427.07</v>
      </c>
      <c r="AQ189" s="27">
        <v>12688.43</v>
      </c>
      <c r="AR189" s="27">
        <v>13243.28</v>
      </c>
      <c r="AS189" s="27">
        <v>13619.57</v>
      </c>
      <c r="AT189" s="27">
        <v>14184.25</v>
      </c>
      <c r="AU189" s="27">
        <v>14782.08</v>
      </c>
      <c r="AV189" s="27">
        <v>15492.39</v>
      </c>
      <c r="AW189" s="27">
        <v>16320.98</v>
      </c>
    </row>
    <row r="190" spans="1:49" x14ac:dyDescent="0.35">
      <c r="A190" t="s">
        <v>150</v>
      </c>
      <c r="B190" t="s">
        <v>49</v>
      </c>
      <c r="C190" t="s">
        <v>52</v>
      </c>
      <c r="D190" t="s">
        <v>53</v>
      </c>
      <c r="E190" t="s">
        <v>26</v>
      </c>
      <c r="F190" t="s">
        <v>51</v>
      </c>
      <c r="G190" s="27">
        <v>1257.73</v>
      </c>
      <c r="H190" s="27">
        <v>1263.07</v>
      </c>
      <c r="I190" s="27">
        <v>1299.78</v>
      </c>
      <c r="J190" s="27">
        <v>1304.8399999999999</v>
      </c>
      <c r="K190" s="27">
        <v>1386.78</v>
      </c>
      <c r="L190" s="27">
        <v>1399.71</v>
      </c>
      <c r="M190" s="27">
        <v>1421.13</v>
      </c>
      <c r="N190" s="27">
        <v>1386.57</v>
      </c>
      <c r="O190" s="27">
        <v>1454.43</v>
      </c>
      <c r="P190" s="27">
        <v>1491.68</v>
      </c>
      <c r="Q190" s="27">
        <v>1526.31</v>
      </c>
      <c r="R190" s="27">
        <v>1577.1</v>
      </c>
      <c r="S190" s="27">
        <v>1611.57</v>
      </c>
      <c r="T190" s="27">
        <v>1633.98</v>
      </c>
      <c r="U190" s="27">
        <v>1672.04</v>
      </c>
      <c r="V190" s="27">
        <v>1635.55</v>
      </c>
      <c r="W190" s="27">
        <v>1729.89</v>
      </c>
      <c r="X190" s="27">
        <v>1785.64</v>
      </c>
      <c r="Y190" s="27">
        <v>1806.16</v>
      </c>
      <c r="Z190" s="27">
        <v>1830.28</v>
      </c>
      <c r="AA190" s="27">
        <v>1915.21</v>
      </c>
      <c r="AB190" s="27">
        <v>1972.98</v>
      </c>
      <c r="AC190" s="27">
        <v>1999.05</v>
      </c>
      <c r="AD190" s="27">
        <v>2075.1999999999998</v>
      </c>
      <c r="AE190" s="27">
        <v>2119.62</v>
      </c>
      <c r="AF190" s="27">
        <v>2180.09</v>
      </c>
      <c r="AG190" s="27">
        <v>2270.6799999999998</v>
      </c>
      <c r="AH190" s="27">
        <v>2378.06</v>
      </c>
      <c r="AI190" s="27">
        <v>2493.4299999999998</v>
      </c>
      <c r="AJ190" s="27">
        <v>2599.58</v>
      </c>
      <c r="AK190" s="27">
        <v>2771.41</v>
      </c>
      <c r="AL190" s="27">
        <v>2889.4</v>
      </c>
      <c r="AM190" s="27">
        <v>3034.38</v>
      </c>
      <c r="AN190" s="27">
        <v>3135</v>
      </c>
      <c r="AO190" s="27">
        <v>3234.94</v>
      </c>
      <c r="AP190" s="27">
        <v>3308.38</v>
      </c>
      <c r="AQ190" s="27">
        <v>3377.97</v>
      </c>
      <c r="AR190" s="27">
        <v>3525.68</v>
      </c>
      <c r="AS190" s="27">
        <v>3625.86</v>
      </c>
      <c r="AT190" s="27">
        <v>3776.19</v>
      </c>
      <c r="AU190" s="27">
        <v>3935.34</v>
      </c>
      <c r="AV190" s="27">
        <v>4124.45</v>
      </c>
      <c r="AW190" s="27">
        <v>4345.04</v>
      </c>
    </row>
    <row r="191" spans="1:49" x14ac:dyDescent="0.35">
      <c r="A191" t="s">
        <v>150</v>
      </c>
      <c r="B191" t="s">
        <v>54</v>
      </c>
      <c r="C191" t="s">
        <v>55</v>
      </c>
      <c r="D191" t="s">
        <v>31</v>
      </c>
      <c r="E191" t="s">
        <v>26</v>
      </c>
      <c r="F191" t="s">
        <v>56</v>
      </c>
      <c r="G191">
        <v>297.06700000000001</v>
      </c>
      <c r="H191">
        <v>328.59800000000001</v>
      </c>
      <c r="I191">
        <v>331.59199999999998</v>
      </c>
      <c r="J191">
        <v>365.28399999999999</v>
      </c>
      <c r="K191">
        <v>430.69099999999997</v>
      </c>
      <c r="L191">
        <v>512.20699999999999</v>
      </c>
      <c r="M191">
        <v>594.34500000000003</v>
      </c>
      <c r="N191">
        <v>665.47500000000002</v>
      </c>
      <c r="O191">
        <v>821.31899999999996</v>
      </c>
      <c r="P191">
        <v>957.41899999999998</v>
      </c>
      <c r="Q191" s="27">
        <v>1108.1400000000001</v>
      </c>
      <c r="R191" s="27">
        <v>1323.36</v>
      </c>
      <c r="S191" s="27">
        <v>1524.87</v>
      </c>
      <c r="T191" s="27">
        <v>1703.65</v>
      </c>
      <c r="U191" s="27">
        <v>1912.07</v>
      </c>
      <c r="V191" s="27">
        <v>2088.98</v>
      </c>
      <c r="W191" s="27">
        <v>2362.62</v>
      </c>
      <c r="X191" s="27">
        <v>2663.38</v>
      </c>
      <c r="Y191" s="27">
        <v>2936.77</v>
      </c>
      <c r="Z191" s="27">
        <v>3176.17</v>
      </c>
      <c r="AA191" s="27">
        <v>3499.39</v>
      </c>
      <c r="AB191" s="27">
        <v>3968.08</v>
      </c>
      <c r="AC191" s="27">
        <v>4419.3</v>
      </c>
      <c r="AD191" s="27">
        <v>4701.2</v>
      </c>
      <c r="AE191" s="27">
        <v>5104.5</v>
      </c>
      <c r="AF191" s="27">
        <v>5585.09</v>
      </c>
      <c r="AG191" s="27">
        <v>6271.79</v>
      </c>
      <c r="AH191" s="27">
        <v>7336.14</v>
      </c>
      <c r="AI191" s="27">
        <v>8504.01</v>
      </c>
      <c r="AJ191" s="27">
        <v>9085.7800000000007</v>
      </c>
      <c r="AK191" s="27">
        <v>10156.61</v>
      </c>
      <c r="AL191" s="27">
        <v>11334.92</v>
      </c>
      <c r="AM191" s="27">
        <v>12136.19</v>
      </c>
      <c r="AN191" s="27">
        <v>13447.3</v>
      </c>
      <c r="AO191" s="27">
        <v>14692.95</v>
      </c>
      <c r="AP191" s="27">
        <v>15862.94</v>
      </c>
      <c r="AQ191" s="27">
        <v>17345</v>
      </c>
      <c r="AR191" s="27">
        <v>19365.689999999999</v>
      </c>
      <c r="AS191" s="27">
        <v>20972.43</v>
      </c>
      <c r="AT191" s="27">
        <v>22903.32</v>
      </c>
      <c r="AU191" s="27">
        <v>25014.87</v>
      </c>
      <c r="AV191" s="27">
        <v>27459.84</v>
      </c>
      <c r="AW191" s="27">
        <v>30287.56</v>
      </c>
    </row>
    <row r="192" spans="1:49" x14ac:dyDescent="0.35">
      <c r="A192" t="s">
        <v>150</v>
      </c>
      <c r="B192" t="s">
        <v>54</v>
      </c>
      <c r="C192" t="s">
        <v>57</v>
      </c>
      <c r="D192" t="s">
        <v>41</v>
      </c>
      <c r="E192" t="s">
        <v>26</v>
      </c>
      <c r="F192" t="s">
        <v>56</v>
      </c>
      <c r="G192">
        <v>381.83499999999998</v>
      </c>
      <c r="H192">
        <v>377.69900000000001</v>
      </c>
      <c r="I192">
        <v>306.46199999999999</v>
      </c>
      <c r="J192">
        <v>328.49299999999999</v>
      </c>
      <c r="K192">
        <v>299.50700000000001</v>
      </c>
      <c r="L192">
        <v>233.77799999999999</v>
      </c>
      <c r="M192">
        <v>262.05700000000002</v>
      </c>
      <c r="N192">
        <v>327.01499999999999</v>
      </c>
      <c r="O192">
        <v>361.26299999999998</v>
      </c>
      <c r="P192">
        <v>365.05399999999997</v>
      </c>
      <c r="Q192">
        <v>428.29700000000003</v>
      </c>
      <c r="R192">
        <v>479.24799999999999</v>
      </c>
      <c r="S192">
        <v>534.66300000000001</v>
      </c>
      <c r="T192">
        <v>521.35500000000002</v>
      </c>
      <c r="U192">
        <v>538.48900000000003</v>
      </c>
      <c r="V192">
        <v>575.93899999999996</v>
      </c>
      <c r="W192">
        <v>549.53099999999995</v>
      </c>
      <c r="X192">
        <v>577.99599999999998</v>
      </c>
      <c r="Y192">
        <v>531.226</v>
      </c>
      <c r="Z192">
        <v>519.875</v>
      </c>
      <c r="AA192">
        <v>504.24700000000001</v>
      </c>
      <c r="AB192">
        <v>461.24400000000003</v>
      </c>
      <c r="AC192">
        <v>419.25799999999998</v>
      </c>
      <c r="AD192">
        <v>621.46100000000001</v>
      </c>
      <c r="AE192">
        <v>790.20799999999997</v>
      </c>
      <c r="AF192">
        <v>878.25099999999998</v>
      </c>
      <c r="AG192">
        <v>926.197</v>
      </c>
      <c r="AH192" s="27">
        <v>1041.27</v>
      </c>
      <c r="AI192" s="27">
        <v>1029.3900000000001</v>
      </c>
      <c r="AJ192" s="27">
        <v>1072.24</v>
      </c>
      <c r="AK192" s="27">
        <v>1387.28</v>
      </c>
      <c r="AL192" s="27">
        <v>1561.04</v>
      </c>
      <c r="AM192" s="27">
        <v>1478.23</v>
      </c>
      <c r="AN192" s="27">
        <v>1392.77</v>
      </c>
      <c r="AO192" s="27">
        <v>1353.86</v>
      </c>
      <c r="AP192" s="27">
        <v>1243.92</v>
      </c>
      <c r="AQ192" s="27">
        <v>1178.8900000000001</v>
      </c>
      <c r="AR192" s="27">
        <v>1413.55</v>
      </c>
      <c r="AS192" s="27">
        <v>1492.9</v>
      </c>
      <c r="AT192" s="27">
        <v>1573.98</v>
      </c>
      <c r="AU192" s="27">
        <v>1657.05</v>
      </c>
      <c r="AV192" s="27">
        <v>1748.24</v>
      </c>
      <c r="AW192" s="27">
        <v>1853.58</v>
      </c>
    </row>
    <row r="193" spans="1:49" x14ac:dyDescent="0.35">
      <c r="A193" t="s">
        <v>150</v>
      </c>
      <c r="B193" t="s">
        <v>54</v>
      </c>
      <c r="C193" t="s">
        <v>58</v>
      </c>
      <c r="D193" t="s">
        <v>44</v>
      </c>
      <c r="E193" t="s">
        <v>26</v>
      </c>
      <c r="F193" t="s">
        <v>56</v>
      </c>
      <c r="G193">
        <v>540.25199999999995</v>
      </c>
      <c r="H193">
        <v>593.20299999999997</v>
      </c>
      <c r="I193">
        <v>648.31799999999998</v>
      </c>
      <c r="J193">
        <v>676.53399999999999</v>
      </c>
      <c r="K193">
        <v>744.53700000000003</v>
      </c>
      <c r="L193">
        <v>775.524</v>
      </c>
      <c r="M193">
        <v>803.26900000000001</v>
      </c>
      <c r="N193">
        <v>803.73500000000001</v>
      </c>
      <c r="O193">
        <v>872.58500000000004</v>
      </c>
      <c r="P193">
        <v>929.73299999999995</v>
      </c>
      <c r="Q193">
        <v>986.50599999999997</v>
      </c>
      <c r="R193" s="27">
        <v>1053.26</v>
      </c>
      <c r="S193" s="27">
        <v>1100.82</v>
      </c>
      <c r="T193" s="27">
        <v>1142.67</v>
      </c>
      <c r="U193" s="27">
        <v>1194.18</v>
      </c>
      <c r="V193" s="27">
        <v>1192.48</v>
      </c>
      <c r="W193" s="27">
        <v>1284.29</v>
      </c>
      <c r="X193" s="27">
        <v>1348.37</v>
      </c>
      <c r="Y193" s="27">
        <v>1378.67</v>
      </c>
      <c r="Z193" s="27">
        <v>1418.45</v>
      </c>
      <c r="AA193" s="27">
        <v>1518.05</v>
      </c>
      <c r="AB193" s="27">
        <v>1599.48</v>
      </c>
      <c r="AC193" s="27">
        <v>1645.49</v>
      </c>
      <c r="AD193" s="27">
        <v>1742.24</v>
      </c>
      <c r="AE193" s="27">
        <v>1828.46</v>
      </c>
      <c r="AF193" s="27">
        <v>1941.14</v>
      </c>
      <c r="AG193" s="27">
        <v>2083.92</v>
      </c>
      <c r="AH193" s="27">
        <v>2240.54</v>
      </c>
      <c r="AI193" s="27">
        <v>2395.3200000000002</v>
      </c>
      <c r="AJ193" s="27">
        <v>2516.2600000000002</v>
      </c>
      <c r="AK193" s="27">
        <v>2715.36</v>
      </c>
      <c r="AL193" s="27">
        <v>2889.4</v>
      </c>
      <c r="AM193" s="27">
        <v>3090.28</v>
      </c>
      <c r="AN193" s="27">
        <v>3244.31</v>
      </c>
      <c r="AO193" s="27">
        <v>3407.82</v>
      </c>
      <c r="AP193" s="27">
        <v>3522.98</v>
      </c>
      <c r="AQ193" s="27">
        <v>3642.97</v>
      </c>
      <c r="AR193" s="27">
        <v>3868.51</v>
      </c>
      <c r="AS193" s="27">
        <v>4055.64</v>
      </c>
      <c r="AT193" s="27">
        <v>4313.93</v>
      </c>
      <c r="AU193" s="27">
        <v>4590.3100000000004</v>
      </c>
      <c r="AV193" s="27">
        <v>4910.8100000000004</v>
      </c>
      <c r="AW193" s="27">
        <v>5273</v>
      </c>
    </row>
    <row r="194" spans="1:49" x14ac:dyDescent="0.35">
      <c r="A194" t="s">
        <v>150</v>
      </c>
      <c r="B194" t="s">
        <v>59</v>
      </c>
      <c r="C194" t="s">
        <v>60</v>
      </c>
      <c r="D194" t="s">
        <v>61</v>
      </c>
    </row>
    <row r="195" spans="1:49" x14ac:dyDescent="0.35">
      <c r="A195" t="s">
        <v>150</v>
      </c>
      <c r="B195" t="s">
        <v>62</v>
      </c>
      <c r="C195" t="s">
        <v>63</v>
      </c>
      <c r="D195" t="s">
        <v>64</v>
      </c>
      <c r="F195" t="s">
        <v>42</v>
      </c>
      <c r="G195">
        <v>5.0000000000000001E-3</v>
      </c>
      <c r="H195">
        <v>5.0000000000000001E-3</v>
      </c>
      <c r="I195">
        <v>5.0000000000000001E-3</v>
      </c>
      <c r="J195">
        <v>6.0000000000000001E-3</v>
      </c>
      <c r="K195">
        <v>6.0000000000000001E-3</v>
      </c>
      <c r="L195">
        <v>5.0000000000000001E-3</v>
      </c>
      <c r="M195">
        <v>6.0000000000000001E-3</v>
      </c>
      <c r="N195">
        <v>5.0000000000000001E-3</v>
      </c>
      <c r="O195">
        <v>6.0000000000000001E-3</v>
      </c>
      <c r="P195">
        <v>6.0000000000000001E-3</v>
      </c>
      <c r="Q195">
        <v>6.0000000000000001E-3</v>
      </c>
      <c r="R195">
        <v>6.0000000000000001E-3</v>
      </c>
      <c r="S195">
        <v>6.0000000000000001E-3</v>
      </c>
      <c r="T195">
        <v>6.0000000000000001E-3</v>
      </c>
      <c r="U195">
        <v>6.0000000000000001E-3</v>
      </c>
      <c r="V195">
        <v>6.0000000000000001E-3</v>
      </c>
      <c r="W195">
        <v>6.0000000000000001E-3</v>
      </c>
      <c r="X195">
        <v>6.0000000000000001E-3</v>
      </c>
      <c r="Y195">
        <v>6.0000000000000001E-3</v>
      </c>
      <c r="Z195">
        <v>6.0000000000000001E-3</v>
      </c>
      <c r="AA195">
        <v>6.0000000000000001E-3</v>
      </c>
      <c r="AB195">
        <v>6.0000000000000001E-3</v>
      </c>
      <c r="AC195">
        <v>6.0000000000000001E-3</v>
      </c>
      <c r="AD195">
        <v>6.0000000000000001E-3</v>
      </c>
      <c r="AE195">
        <v>5.0000000000000001E-3</v>
      </c>
      <c r="AF195">
        <v>5.0000000000000001E-3</v>
      </c>
      <c r="AG195">
        <v>5.0000000000000001E-3</v>
      </c>
      <c r="AH195">
        <v>5.0000000000000001E-3</v>
      </c>
      <c r="AI195">
        <v>5.0000000000000001E-3</v>
      </c>
      <c r="AJ195">
        <v>6.0000000000000001E-3</v>
      </c>
      <c r="AK195">
        <v>6.0000000000000001E-3</v>
      </c>
      <c r="AL195">
        <v>6.0000000000000001E-3</v>
      </c>
      <c r="AM195">
        <v>6.0000000000000001E-3</v>
      </c>
      <c r="AN195">
        <v>6.0000000000000001E-3</v>
      </c>
      <c r="AO195">
        <v>6.0000000000000001E-3</v>
      </c>
      <c r="AP195">
        <v>6.0000000000000001E-3</v>
      </c>
      <c r="AQ195">
        <v>6.0000000000000001E-3</v>
      </c>
      <c r="AR195">
        <v>6.0000000000000001E-3</v>
      </c>
      <c r="AS195">
        <v>6.0000000000000001E-3</v>
      </c>
      <c r="AT195">
        <v>6.0000000000000001E-3</v>
      </c>
      <c r="AU195">
        <v>6.0000000000000001E-3</v>
      </c>
      <c r="AV195">
        <v>6.0000000000000001E-3</v>
      </c>
      <c r="AW195">
        <v>6.0000000000000001E-3</v>
      </c>
    </row>
    <row r="196" spans="1:49" x14ac:dyDescent="0.35">
      <c r="A196" t="s">
        <v>150</v>
      </c>
      <c r="B196" t="s">
        <v>65</v>
      </c>
      <c r="C196" t="s">
        <v>66</v>
      </c>
      <c r="D196" t="s">
        <v>67</v>
      </c>
      <c r="F196" t="s">
        <v>42</v>
      </c>
      <c r="G196">
        <v>0.55000000000000004</v>
      </c>
      <c r="H196">
        <v>0.55400000000000005</v>
      </c>
      <c r="I196">
        <v>0.51100000000000001</v>
      </c>
      <c r="J196">
        <v>0.54</v>
      </c>
      <c r="K196">
        <v>0.57799999999999996</v>
      </c>
      <c r="L196">
        <v>0.66</v>
      </c>
      <c r="M196">
        <v>0.74</v>
      </c>
      <c r="N196">
        <v>0.82799999999999996</v>
      </c>
      <c r="O196">
        <v>0.94099999999999995</v>
      </c>
      <c r="P196">
        <v>1.03</v>
      </c>
      <c r="Q196">
        <v>1.123</v>
      </c>
      <c r="R196">
        <v>1.256</v>
      </c>
      <c r="S196">
        <v>1.385</v>
      </c>
      <c r="T196">
        <v>1.4910000000000001</v>
      </c>
      <c r="U196">
        <v>1.601</v>
      </c>
      <c r="V196">
        <v>1.752</v>
      </c>
      <c r="W196">
        <v>1.84</v>
      </c>
      <c r="X196">
        <v>1.9750000000000001</v>
      </c>
      <c r="Y196">
        <v>2.13</v>
      </c>
      <c r="Z196">
        <v>2.2389999999999999</v>
      </c>
      <c r="AA196">
        <v>2.3050000000000002</v>
      </c>
      <c r="AB196">
        <v>2.4809999999999999</v>
      </c>
      <c r="AC196">
        <v>2.6859999999999999</v>
      </c>
      <c r="AD196">
        <v>2.698</v>
      </c>
      <c r="AE196">
        <v>2.7919999999999998</v>
      </c>
      <c r="AF196">
        <v>2.8769999999999998</v>
      </c>
      <c r="AG196">
        <v>3.01</v>
      </c>
      <c r="AH196">
        <v>3.274</v>
      </c>
      <c r="AI196">
        <v>3.55</v>
      </c>
      <c r="AJ196">
        <v>3.6110000000000002</v>
      </c>
      <c r="AK196">
        <v>3.74</v>
      </c>
      <c r="AL196">
        <v>3.923</v>
      </c>
      <c r="AM196">
        <v>3.927</v>
      </c>
      <c r="AN196">
        <v>4.1449999999999996</v>
      </c>
      <c r="AO196">
        <v>4.3120000000000003</v>
      </c>
      <c r="AP196">
        <v>4.5030000000000001</v>
      </c>
      <c r="AQ196">
        <v>4.7610000000000001</v>
      </c>
      <c r="AR196">
        <v>5.0060000000000002</v>
      </c>
      <c r="AS196">
        <v>5.1710000000000003</v>
      </c>
      <c r="AT196">
        <v>5.3090000000000002</v>
      </c>
      <c r="AU196">
        <v>5.4489999999999998</v>
      </c>
      <c r="AV196">
        <v>5.5919999999999996</v>
      </c>
      <c r="AW196">
        <v>5.7439999999999998</v>
      </c>
    </row>
    <row r="197" spans="1:49" x14ac:dyDescent="0.35">
      <c r="A197" t="s">
        <v>150</v>
      </c>
      <c r="B197" t="s">
        <v>68</v>
      </c>
      <c r="C197" t="s">
        <v>69</v>
      </c>
      <c r="D197" t="s">
        <v>70</v>
      </c>
      <c r="F197" t="s">
        <v>151</v>
      </c>
      <c r="G197">
        <v>29.829000000000001</v>
      </c>
      <c r="H197">
        <v>30.239000000000001</v>
      </c>
      <c r="I197">
        <v>32.6</v>
      </c>
      <c r="J197">
        <v>28.606999999999999</v>
      </c>
      <c r="K197">
        <v>31.736000000000001</v>
      </c>
      <c r="L197">
        <v>31.327000000000002</v>
      </c>
      <c r="M197">
        <v>29.111000000000001</v>
      </c>
      <c r="N197">
        <v>32.591999999999999</v>
      </c>
      <c r="O197">
        <v>36.978999999999999</v>
      </c>
      <c r="P197">
        <v>40.11</v>
      </c>
      <c r="Q197">
        <v>46.253</v>
      </c>
      <c r="R197">
        <v>56.994</v>
      </c>
      <c r="S197">
        <v>57.805</v>
      </c>
      <c r="T197">
        <v>59.463999999999999</v>
      </c>
      <c r="U197">
        <v>55.02</v>
      </c>
      <c r="V197">
        <v>58.177999999999997</v>
      </c>
      <c r="W197">
        <v>58.969000000000001</v>
      </c>
      <c r="X197">
        <v>49.615000000000002</v>
      </c>
      <c r="Y197">
        <v>44.55</v>
      </c>
      <c r="Z197">
        <v>40.35</v>
      </c>
      <c r="AA197">
        <v>36.106000000000002</v>
      </c>
      <c r="AB197">
        <v>30.754000000000001</v>
      </c>
      <c r="AC197">
        <v>25.587</v>
      </c>
      <c r="AD197">
        <v>24.317</v>
      </c>
      <c r="AE197">
        <v>22.172999999999998</v>
      </c>
      <c r="AF197">
        <v>19.68</v>
      </c>
      <c r="AG197">
        <v>20.648</v>
      </c>
      <c r="AH197">
        <v>22.745999999999999</v>
      </c>
      <c r="AI197">
        <v>24.395</v>
      </c>
      <c r="AJ197">
        <v>25.39</v>
      </c>
      <c r="AK197">
        <v>24.948</v>
      </c>
      <c r="AL197">
        <v>30.181999999999999</v>
      </c>
      <c r="AM197">
        <v>31.634</v>
      </c>
      <c r="AN197">
        <v>30.184000000000001</v>
      </c>
      <c r="AO197">
        <v>26.960999999999999</v>
      </c>
      <c r="AP197">
        <v>28.593</v>
      </c>
      <c r="AQ197">
        <v>28.623999999999999</v>
      </c>
      <c r="AR197">
        <v>28.821000000000002</v>
      </c>
      <c r="AS197">
        <v>28.417999999999999</v>
      </c>
      <c r="AT197">
        <v>28.439</v>
      </c>
      <c r="AU197">
        <v>28.446999999999999</v>
      </c>
      <c r="AV197">
        <v>28.484000000000002</v>
      </c>
      <c r="AW197">
        <v>28.585999999999999</v>
      </c>
    </row>
    <row r="198" spans="1:49" x14ac:dyDescent="0.35">
      <c r="A198" t="s">
        <v>150</v>
      </c>
      <c r="B198" t="s">
        <v>71</v>
      </c>
      <c r="C198" t="s">
        <v>72</v>
      </c>
      <c r="D198" t="s">
        <v>70</v>
      </c>
      <c r="F198" t="s">
        <v>151</v>
      </c>
      <c r="G198">
        <v>40.101999999999997</v>
      </c>
      <c r="H198">
        <v>37.476999999999997</v>
      </c>
      <c r="I198">
        <v>41.963999999999999</v>
      </c>
      <c r="J198">
        <v>36.521000000000001</v>
      </c>
      <c r="K198">
        <v>42.268999999999998</v>
      </c>
      <c r="L198">
        <v>48.296999999999997</v>
      </c>
      <c r="M198">
        <v>28.138000000000002</v>
      </c>
      <c r="N198">
        <v>25.379000000000001</v>
      </c>
      <c r="O198">
        <v>19.795999999999999</v>
      </c>
      <c r="P198">
        <v>16.504000000000001</v>
      </c>
      <c r="Q198">
        <v>38.692</v>
      </c>
      <c r="R198">
        <v>24.545000000000002</v>
      </c>
      <c r="S198">
        <v>28.177</v>
      </c>
      <c r="T198">
        <v>19.077000000000002</v>
      </c>
      <c r="U198">
        <v>27.943999999999999</v>
      </c>
      <c r="V198">
        <v>29.798999999999999</v>
      </c>
      <c r="W198">
        <v>23.55</v>
      </c>
      <c r="X198">
        <v>21.088000000000001</v>
      </c>
      <c r="Y198">
        <v>11.301</v>
      </c>
      <c r="Z198">
        <v>15.651</v>
      </c>
      <c r="AA198">
        <v>31.923999999999999</v>
      </c>
      <c r="AB198">
        <v>35.603000000000002</v>
      </c>
      <c r="AC198">
        <v>32.874000000000002</v>
      </c>
      <c r="AD198">
        <v>26.667000000000002</v>
      </c>
      <c r="AE198">
        <v>32.655000000000001</v>
      </c>
      <c r="AF198">
        <v>28.821999999999999</v>
      </c>
      <c r="AG198">
        <v>37.987000000000002</v>
      </c>
      <c r="AH198">
        <v>41.356999999999999</v>
      </c>
      <c r="AI198">
        <v>42.356000000000002</v>
      </c>
      <c r="AJ198">
        <v>28.602</v>
      </c>
      <c r="AK198">
        <v>16.289000000000001</v>
      </c>
      <c r="AL198">
        <v>17.469000000000001</v>
      </c>
      <c r="AM198">
        <v>23.047999999999998</v>
      </c>
      <c r="AN198">
        <v>21.201000000000001</v>
      </c>
      <c r="AO198">
        <v>20.052</v>
      </c>
      <c r="AP198">
        <v>23.835999999999999</v>
      </c>
      <c r="AQ198">
        <v>20.957999999999998</v>
      </c>
      <c r="AR198">
        <v>20.303000000000001</v>
      </c>
      <c r="AS198">
        <v>19.023</v>
      </c>
      <c r="AT198">
        <v>20.105</v>
      </c>
      <c r="AU198">
        <v>20.486000000000001</v>
      </c>
      <c r="AV198">
        <v>17.491</v>
      </c>
      <c r="AW198">
        <v>15.395</v>
      </c>
    </row>
    <row r="199" spans="1:49" x14ac:dyDescent="0.35">
      <c r="A199" t="s">
        <v>150</v>
      </c>
      <c r="B199" t="s">
        <v>73</v>
      </c>
      <c r="C199" t="s">
        <v>74</v>
      </c>
      <c r="D199" t="s">
        <v>47</v>
      </c>
      <c r="F199" t="s">
        <v>152</v>
      </c>
      <c r="G199">
        <v>3.98</v>
      </c>
      <c r="H199">
        <v>4.452</v>
      </c>
      <c r="I199">
        <v>5.093</v>
      </c>
      <c r="J199">
        <v>5.86</v>
      </c>
      <c r="K199">
        <v>6.5380000000000003</v>
      </c>
      <c r="L199">
        <v>7.5179999999999998</v>
      </c>
      <c r="M199">
        <v>8.6980000000000004</v>
      </c>
      <c r="N199">
        <v>9.7449999999999992</v>
      </c>
      <c r="O199">
        <v>10.952999999999999</v>
      </c>
      <c r="P199">
        <v>12.56</v>
      </c>
      <c r="Q199">
        <v>14.063000000000001</v>
      </c>
      <c r="R199">
        <v>16.495999999999999</v>
      </c>
      <c r="S199">
        <v>19.481000000000002</v>
      </c>
      <c r="T199">
        <v>21.562000000000001</v>
      </c>
      <c r="U199">
        <v>23.352</v>
      </c>
      <c r="V199">
        <v>25.623000000000001</v>
      </c>
      <c r="W199">
        <v>27.901</v>
      </c>
      <c r="X199">
        <v>30.238</v>
      </c>
      <c r="Y199">
        <v>32.728000000000002</v>
      </c>
      <c r="Z199">
        <v>35.273000000000003</v>
      </c>
      <c r="AA199">
        <v>37.409999999999997</v>
      </c>
      <c r="AB199">
        <v>40.39</v>
      </c>
      <c r="AC199">
        <v>45.322000000000003</v>
      </c>
      <c r="AD199">
        <v>48.197000000000003</v>
      </c>
      <c r="AE199">
        <v>50.433999999999997</v>
      </c>
      <c r="AF199">
        <v>52.271999999999998</v>
      </c>
      <c r="AG199">
        <v>55.585000000000001</v>
      </c>
      <c r="AH199">
        <v>60.686</v>
      </c>
      <c r="AI199">
        <v>67.171999999999997</v>
      </c>
      <c r="AJ199">
        <v>71.09</v>
      </c>
      <c r="AK199">
        <v>73.441000000000003</v>
      </c>
      <c r="AL199">
        <v>77.850999999999999</v>
      </c>
      <c r="AM199">
        <v>82.106999999999999</v>
      </c>
      <c r="AN199">
        <v>86.212999999999994</v>
      </c>
      <c r="AO199">
        <v>90.149000000000001</v>
      </c>
      <c r="AP199">
        <v>94.025000000000006</v>
      </c>
      <c r="AQ199">
        <v>100</v>
      </c>
      <c r="AR199">
        <v>106.6</v>
      </c>
      <c r="AS199">
        <v>112.996</v>
      </c>
      <c r="AT199">
        <v>119.776</v>
      </c>
      <c r="AU199">
        <v>125.765</v>
      </c>
      <c r="AV199">
        <v>132.053</v>
      </c>
      <c r="AW199">
        <v>138.655</v>
      </c>
    </row>
    <row r="200" spans="1:49" x14ac:dyDescent="0.35">
      <c r="A200" t="s">
        <v>150</v>
      </c>
      <c r="B200" t="s">
        <v>73</v>
      </c>
      <c r="C200" t="s">
        <v>76</v>
      </c>
      <c r="D200" t="s">
        <v>35</v>
      </c>
      <c r="F200" t="s">
        <v>77</v>
      </c>
      <c r="G200">
        <v>19.629000000000001</v>
      </c>
      <c r="H200">
        <v>11.853</v>
      </c>
      <c r="I200">
        <v>14.397</v>
      </c>
      <c r="J200">
        <v>15.06</v>
      </c>
      <c r="K200">
        <v>11.57</v>
      </c>
      <c r="L200">
        <v>14.988</v>
      </c>
      <c r="M200">
        <v>15.694000000000001</v>
      </c>
      <c r="N200">
        <v>12.035</v>
      </c>
      <c r="O200">
        <v>12.401</v>
      </c>
      <c r="P200">
        <v>14.670999999999999</v>
      </c>
      <c r="Q200">
        <v>11.967000000000001</v>
      </c>
      <c r="R200">
        <v>17.3</v>
      </c>
      <c r="S200">
        <v>18.094999999999999</v>
      </c>
      <c r="T200">
        <v>10.678000000000001</v>
      </c>
      <c r="U200">
        <v>8.3040000000000003</v>
      </c>
      <c r="V200">
        <v>9.7240000000000002</v>
      </c>
      <c r="W200">
        <v>8.89</v>
      </c>
      <c r="X200">
        <v>8.3759999999999994</v>
      </c>
      <c r="Y200">
        <v>8.2370000000000001</v>
      </c>
      <c r="Z200">
        <v>7.774</v>
      </c>
      <c r="AA200">
        <v>6.06</v>
      </c>
      <c r="AB200">
        <v>7.9649999999999999</v>
      </c>
      <c r="AC200">
        <v>12.212</v>
      </c>
      <c r="AD200">
        <v>6.343</v>
      </c>
      <c r="AE200">
        <v>4.641</v>
      </c>
      <c r="AF200">
        <v>3.645</v>
      </c>
      <c r="AG200">
        <v>6.3369999999999997</v>
      </c>
      <c r="AH200">
        <v>9.1769999999999996</v>
      </c>
      <c r="AI200">
        <v>10.688000000000001</v>
      </c>
      <c r="AJ200">
        <v>5.8319999999999999</v>
      </c>
      <c r="AK200">
        <v>3.3069999999999999</v>
      </c>
      <c r="AL200">
        <v>6.0049999999999999</v>
      </c>
      <c r="AM200">
        <v>5.4669999999999996</v>
      </c>
      <c r="AN200">
        <v>5</v>
      </c>
      <c r="AO200">
        <v>4.5650000000000004</v>
      </c>
      <c r="AP200">
        <v>4.3</v>
      </c>
      <c r="AQ200">
        <v>6.3550000000000004</v>
      </c>
      <c r="AR200">
        <v>6.6</v>
      </c>
      <c r="AS200">
        <v>6</v>
      </c>
      <c r="AT200">
        <v>6</v>
      </c>
      <c r="AU200">
        <v>5</v>
      </c>
      <c r="AV200">
        <v>5</v>
      </c>
      <c r="AW200">
        <v>5</v>
      </c>
    </row>
    <row r="201" spans="1:49" x14ac:dyDescent="0.35">
      <c r="A201" t="s">
        <v>150</v>
      </c>
      <c r="B201" t="s">
        <v>78</v>
      </c>
      <c r="C201" t="s">
        <v>79</v>
      </c>
      <c r="D201" t="s">
        <v>47</v>
      </c>
      <c r="F201" t="s">
        <v>152</v>
      </c>
      <c r="G201">
        <v>4.2530000000000001</v>
      </c>
      <c r="H201">
        <v>4.7850000000000001</v>
      </c>
      <c r="I201">
        <v>5.7</v>
      </c>
      <c r="J201">
        <v>6.2910000000000004</v>
      </c>
      <c r="K201">
        <v>7</v>
      </c>
      <c r="L201">
        <v>8.3879999999999999</v>
      </c>
      <c r="M201">
        <v>9.4510000000000005</v>
      </c>
      <c r="N201">
        <v>10.308</v>
      </c>
      <c r="O201">
        <v>11.932</v>
      </c>
      <c r="P201">
        <v>13.379</v>
      </c>
      <c r="Q201">
        <v>15.742000000000001</v>
      </c>
      <c r="R201">
        <v>18.341000000000001</v>
      </c>
      <c r="S201">
        <v>21.146999999999998</v>
      </c>
      <c r="T201">
        <v>22.446999999999999</v>
      </c>
      <c r="U201">
        <v>24.838999999999999</v>
      </c>
      <c r="V201">
        <v>27.143000000000001</v>
      </c>
      <c r="W201">
        <v>29.535</v>
      </c>
      <c r="X201">
        <v>31.690999999999999</v>
      </c>
      <c r="Y201">
        <v>34.527000000000001</v>
      </c>
      <c r="Z201">
        <v>36.712000000000003</v>
      </c>
      <c r="AA201">
        <v>39.281999999999996</v>
      </c>
      <c r="AB201">
        <v>43.566000000000003</v>
      </c>
      <c r="AC201">
        <v>46.929000000000002</v>
      </c>
      <c r="AD201">
        <v>49.350999999999999</v>
      </c>
      <c r="AE201">
        <v>51.173999999999999</v>
      </c>
      <c r="AF201">
        <v>53.784999999999997</v>
      </c>
      <c r="AG201">
        <v>56.973999999999997</v>
      </c>
      <c r="AH201">
        <v>63.042000000000002</v>
      </c>
      <c r="AI201">
        <v>69.686999999999998</v>
      </c>
      <c r="AJ201">
        <v>72.158000000000001</v>
      </c>
      <c r="AK201">
        <v>74.765000000000001</v>
      </c>
      <c r="AL201">
        <v>80.134</v>
      </c>
      <c r="AM201">
        <v>84.116</v>
      </c>
      <c r="AN201">
        <v>88.745999999999995</v>
      </c>
      <c r="AO201">
        <v>90.531999999999996</v>
      </c>
      <c r="AP201">
        <v>97.304000000000002</v>
      </c>
      <c r="AQ201">
        <v>101.625</v>
      </c>
      <c r="AR201">
        <v>108.23099999999999</v>
      </c>
      <c r="AS201">
        <v>114.72499999999999</v>
      </c>
      <c r="AT201">
        <v>120.461</v>
      </c>
      <c r="AU201">
        <v>126.48399999999999</v>
      </c>
      <c r="AV201">
        <v>132.80799999999999</v>
      </c>
      <c r="AW201">
        <v>139.44800000000001</v>
      </c>
    </row>
    <row r="202" spans="1:49" x14ac:dyDescent="0.35">
      <c r="A202" t="s">
        <v>150</v>
      </c>
      <c r="B202" t="s">
        <v>78</v>
      </c>
      <c r="C202" t="s">
        <v>80</v>
      </c>
      <c r="D202" t="s">
        <v>35</v>
      </c>
      <c r="F202" t="s">
        <v>81</v>
      </c>
      <c r="G202" t="s">
        <v>82</v>
      </c>
      <c r="H202">
        <v>12.5</v>
      </c>
      <c r="I202">
        <v>19.135999999999999</v>
      </c>
      <c r="J202">
        <v>10.363</v>
      </c>
      <c r="K202">
        <v>11.268000000000001</v>
      </c>
      <c r="L202">
        <v>19.831</v>
      </c>
      <c r="M202">
        <v>12.676</v>
      </c>
      <c r="N202">
        <v>9.0630000000000006</v>
      </c>
      <c r="O202">
        <v>15.759</v>
      </c>
      <c r="P202">
        <v>12.129</v>
      </c>
      <c r="Q202">
        <v>17.66</v>
      </c>
      <c r="R202">
        <v>16.510000000000002</v>
      </c>
      <c r="S202">
        <v>15.298</v>
      </c>
      <c r="T202">
        <v>6.1449999999999996</v>
      </c>
      <c r="U202">
        <v>10.657999999999999</v>
      </c>
      <c r="V202">
        <v>9.2750000000000004</v>
      </c>
      <c r="W202">
        <v>8.8140000000000001</v>
      </c>
      <c r="X202">
        <v>7.3</v>
      </c>
      <c r="Y202">
        <v>8.9469999999999992</v>
      </c>
      <c r="Z202">
        <v>6.33</v>
      </c>
      <c r="AA202">
        <v>6.9989999999999997</v>
      </c>
      <c r="AB202">
        <v>10.906000000000001</v>
      </c>
      <c r="AC202">
        <v>7.7190000000000003</v>
      </c>
      <c r="AD202">
        <v>5.1630000000000003</v>
      </c>
      <c r="AE202">
        <v>3.6930000000000001</v>
      </c>
      <c r="AF202">
        <v>5.1020000000000003</v>
      </c>
      <c r="AG202">
        <v>5.93</v>
      </c>
      <c r="AH202">
        <v>10.65</v>
      </c>
      <c r="AI202">
        <v>10.541</v>
      </c>
      <c r="AJ202">
        <v>3.5470000000000002</v>
      </c>
      <c r="AK202">
        <v>3.6120000000000001</v>
      </c>
      <c r="AL202">
        <v>7.1820000000000004</v>
      </c>
      <c r="AM202">
        <v>4.9690000000000003</v>
      </c>
      <c r="AN202">
        <v>5.5039999999999996</v>
      </c>
      <c r="AO202">
        <v>2.012</v>
      </c>
      <c r="AP202">
        <v>7.4809999999999999</v>
      </c>
      <c r="AQ202">
        <v>4.4400000000000004</v>
      </c>
      <c r="AR202">
        <v>6.5</v>
      </c>
      <c r="AS202">
        <v>6</v>
      </c>
      <c r="AT202">
        <v>5</v>
      </c>
      <c r="AU202">
        <v>5</v>
      </c>
      <c r="AV202">
        <v>5</v>
      </c>
      <c r="AW202">
        <v>5</v>
      </c>
    </row>
    <row r="203" spans="1:49" x14ac:dyDescent="0.35">
      <c r="A203" t="s">
        <v>150</v>
      </c>
      <c r="B203" t="s">
        <v>83</v>
      </c>
      <c r="D203" t="s">
        <v>64</v>
      </c>
    </row>
    <row r="204" spans="1:49" x14ac:dyDescent="0.35">
      <c r="A204" t="s">
        <v>150</v>
      </c>
      <c r="B204" t="s">
        <v>84</v>
      </c>
      <c r="C204" t="s">
        <v>85</v>
      </c>
      <c r="D204" t="s">
        <v>35</v>
      </c>
      <c r="F204" t="s">
        <v>153</v>
      </c>
      <c r="G204">
        <v>0</v>
      </c>
      <c r="H204">
        <v>0</v>
      </c>
      <c r="I204">
        <v>0</v>
      </c>
      <c r="J204">
        <v>0</v>
      </c>
      <c r="K204">
        <v>0</v>
      </c>
      <c r="L204">
        <v>0</v>
      </c>
      <c r="M204" t="s">
        <v>39</v>
      </c>
      <c r="N204" t="s">
        <v>39</v>
      </c>
      <c r="O204" t="s">
        <v>39</v>
      </c>
      <c r="P204">
        <v>20.503</v>
      </c>
      <c r="Q204">
        <v>12.113</v>
      </c>
      <c r="R204">
        <v>13.122999999999999</v>
      </c>
      <c r="S204">
        <v>4.3230000000000004</v>
      </c>
      <c r="T204">
        <v>9.0999999999999998E-2</v>
      </c>
      <c r="U204">
        <v>-3.5489999999999999</v>
      </c>
      <c r="V204">
        <v>10.333</v>
      </c>
      <c r="W204">
        <v>8.5109999999999992</v>
      </c>
      <c r="X204">
        <v>4.6790000000000003</v>
      </c>
      <c r="Y204">
        <v>-6.3319999999999999</v>
      </c>
      <c r="Z204">
        <v>-3.2149999999999999</v>
      </c>
      <c r="AA204">
        <v>-2.8380000000000001</v>
      </c>
      <c r="AB204">
        <v>13.276</v>
      </c>
      <c r="AC204">
        <v>10.44</v>
      </c>
      <c r="AD204">
        <v>-2.589</v>
      </c>
      <c r="AE204">
        <v>-0.439</v>
      </c>
      <c r="AF204">
        <v>3.9319999999999999</v>
      </c>
      <c r="AG204">
        <v>7.9109999999999996</v>
      </c>
      <c r="AH204">
        <v>8.843</v>
      </c>
      <c r="AI204">
        <v>16.734000000000002</v>
      </c>
      <c r="AJ204">
        <v>-3.323</v>
      </c>
      <c r="AK204">
        <v>2.375</v>
      </c>
      <c r="AL204">
        <v>8.5459999999999994</v>
      </c>
      <c r="AM204">
        <v>9.6890000000000001</v>
      </c>
      <c r="AN204">
        <v>9.8620000000000001</v>
      </c>
      <c r="AO204">
        <v>7.7350000000000003</v>
      </c>
      <c r="AP204">
        <v>7.8449999999999998</v>
      </c>
      <c r="AQ204">
        <v>8.1630000000000003</v>
      </c>
      <c r="AR204">
        <v>4.8230000000000004</v>
      </c>
      <c r="AS204">
        <v>4.718</v>
      </c>
      <c r="AT204">
        <v>4.7210000000000001</v>
      </c>
      <c r="AU204">
        <v>4.718</v>
      </c>
      <c r="AV204">
        <v>4.7460000000000004</v>
      </c>
      <c r="AW204">
        <v>4.7469999999999999</v>
      </c>
    </row>
    <row r="205" spans="1:49" x14ac:dyDescent="0.35">
      <c r="A205" t="s">
        <v>150</v>
      </c>
      <c r="B205" t="s">
        <v>87</v>
      </c>
      <c r="C205" t="s">
        <v>88</v>
      </c>
      <c r="D205" t="s">
        <v>35</v>
      </c>
      <c r="F205" t="s">
        <v>153</v>
      </c>
      <c r="G205">
        <v>0</v>
      </c>
      <c r="H205">
        <v>0</v>
      </c>
      <c r="I205">
        <v>0</v>
      </c>
      <c r="J205">
        <v>0</v>
      </c>
      <c r="K205">
        <v>0</v>
      </c>
      <c r="L205">
        <v>0</v>
      </c>
      <c r="M205">
        <v>0</v>
      </c>
      <c r="N205">
        <v>0</v>
      </c>
      <c r="O205">
        <v>0</v>
      </c>
      <c r="P205">
        <v>5.8239999999999998</v>
      </c>
      <c r="Q205">
        <v>2.121</v>
      </c>
      <c r="R205">
        <v>14.505000000000001</v>
      </c>
      <c r="S205">
        <v>4.343</v>
      </c>
      <c r="T205">
        <v>1.0580000000000001</v>
      </c>
      <c r="U205">
        <v>-3.3780000000000001</v>
      </c>
      <c r="V205">
        <v>9.1639999999999997</v>
      </c>
      <c r="W205">
        <v>9.6760000000000002</v>
      </c>
      <c r="X205">
        <v>3.6960000000000002</v>
      </c>
      <c r="Y205">
        <v>-5.93</v>
      </c>
      <c r="Z205">
        <v>-3.4710000000000001</v>
      </c>
      <c r="AA205">
        <v>-2.42</v>
      </c>
      <c r="AB205">
        <v>13.276</v>
      </c>
      <c r="AC205">
        <v>10.44</v>
      </c>
      <c r="AD205">
        <v>-2.589</v>
      </c>
      <c r="AE205">
        <v>-0.439</v>
      </c>
      <c r="AF205">
        <v>3.9319999999999999</v>
      </c>
      <c r="AG205">
        <v>7.9109999999999996</v>
      </c>
      <c r="AH205">
        <v>8.843</v>
      </c>
      <c r="AI205">
        <v>16.734000000000002</v>
      </c>
      <c r="AJ205">
        <v>-3.323</v>
      </c>
      <c r="AK205">
        <v>2.375</v>
      </c>
      <c r="AL205">
        <v>8.5459999999999994</v>
      </c>
      <c r="AM205">
        <v>9.6890000000000001</v>
      </c>
      <c r="AN205">
        <v>9.8620000000000001</v>
      </c>
      <c r="AO205">
        <v>7.7350000000000003</v>
      </c>
      <c r="AP205">
        <v>7.8449999999999998</v>
      </c>
      <c r="AQ205">
        <v>8.1630000000000003</v>
      </c>
      <c r="AR205">
        <v>4.8230000000000004</v>
      </c>
      <c r="AS205">
        <v>4.718</v>
      </c>
      <c r="AT205">
        <v>4.7210000000000001</v>
      </c>
      <c r="AU205">
        <v>4.718</v>
      </c>
      <c r="AV205">
        <v>4.7460000000000004</v>
      </c>
      <c r="AW205">
        <v>4.7469999999999999</v>
      </c>
    </row>
    <row r="206" spans="1:49" x14ac:dyDescent="0.35">
      <c r="A206" t="s">
        <v>150</v>
      </c>
      <c r="B206" t="s">
        <v>89</v>
      </c>
      <c r="C206" t="s">
        <v>90</v>
      </c>
      <c r="D206" t="s">
        <v>35</v>
      </c>
      <c r="F206" t="s">
        <v>153</v>
      </c>
      <c r="G206">
        <v>0</v>
      </c>
      <c r="H206">
        <v>0</v>
      </c>
      <c r="I206">
        <v>0</v>
      </c>
      <c r="J206">
        <v>0</v>
      </c>
      <c r="K206">
        <v>0</v>
      </c>
      <c r="L206" t="s">
        <v>39</v>
      </c>
      <c r="M206" t="s">
        <v>39</v>
      </c>
      <c r="N206">
        <v>0</v>
      </c>
      <c r="O206">
        <v>0</v>
      </c>
      <c r="P206">
        <v>2.5840000000000001</v>
      </c>
      <c r="Q206">
        <v>-2.9649999999999999</v>
      </c>
      <c r="R206">
        <v>2.3479999999999999</v>
      </c>
      <c r="S206">
        <v>33.524000000000001</v>
      </c>
      <c r="T206">
        <v>9.1389999999999993</v>
      </c>
      <c r="U206">
        <v>4.6020000000000003</v>
      </c>
      <c r="V206">
        <v>6.5069999999999997</v>
      </c>
      <c r="W206">
        <v>16.879000000000001</v>
      </c>
      <c r="X206">
        <v>28.135000000000002</v>
      </c>
      <c r="Y206">
        <v>-4.4550000000000001</v>
      </c>
      <c r="Z206">
        <v>-10.353999999999999</v>
      </c>
      <c r="AA206">
        <v>21.248000000000001</v>
      </c>
      <c r="AB206">
        <v>18.774000000000001</v>
      </c>
      <c r="AC206">
        <v>11.43</v>
      </c>
      <c r="AD206">
        <v>-15.476000000000001</v>
      </c>
      <c r="AE206">
        <v>-2.1349999999999998</v>
      </c>
      <c r="AF206">
        <v>10.538</v>
      </c>
      <c r="AG206">
        <v>19.260999999999999</v>
      </c>
      <c r="AH206">
        <v>11.038</v>
      </c>
      <c r="AI206">
        <v>24.721</v>
      </c>
      <c r="AJ206">
        <v>-7.2220000000000004</v>
      </c>
      <c r="AK206">
        <v>6.1349999999999998</v>
      </c>
      <c r="AL206">
        <v>18.608000000000001</v>
      </c>
      <c r="AM206">
        <v>-0.89900000000000002</v>
      </c>
      <c r="AN206">
        <v>9.5939999999999994</v>
      </c>
      <c r="AO206">
        <v>13.083</v>
      </c>
      <c r="AP206">
        <v>13.96</v>
      </c>
      <c r="AQ206">
        <v>13.747</v>
      </c>
      <c r="AR206">
        <v>5.7850000000000001</v>
      </c>
      <c r="AS206">
        <v>5.9290000000000003</v>
      </c>
      <c r="AT206">
        <v>5.85</v>
      </c>
      <c r="AU206">
        <v>5.843</v>
      </c>
      <c r="AV206">
        <v>5.819</v>
      </c>
      <c r="AW206">
        <v>5.7949999999999999</v>
      </c>
    </row>
    <row r="207" spans="1:49" x14ac:dyDescent="0.35">
      <c r="A207" t="s">
        <v>150</v>
      </c>
      <c r="B207" t="s">
        <v>91</v>
      </c>
      <c r="C207" t="s">
        <v>92</v>
      </c>
      <c r="D207" t="s">
        <v>35</v>
      </c>
      <c r="F207" t="s">
        <v>153</v>
      </c>
      <c r="G207">
        <v>0</v>
      </c>
      <c r="H207">
        <v>0</v>
      </c>
      <c r="I207">
        <v>0</v>
      </c>
      <c r="J207">
        <v>0</v>
      </c>
      <c r="K207">
        <v>0</v>
      </c>
      <c r="L207">
        <v>0</v>
      </c>
      <c r="M207">
        <v>0</v>
      </c>
      <c r="N207">
        <v>0</v>
      </c>
      <c r="O207">
        <v>0</v>
      </c>
      <c r="P207">
        <v>3.6539999999999999</v>
      </c>
      <c r="Q207">
        <v>-10.103999999999999</v>
      </c>
      <c r="R207">
        <v>2.1749999999999998</v>
      </c>
      <c r="S207">
        <v>54.823</v>
      </c>
      <c r="T207">
        <v>18.594999999999999</v>
      </c>
      <c r="U207">
        <v>5.6559999999999997</v>
      </c>
      <c r="V207">
        <v>8.3580000000000005</v>
      </c>
      <c r="W207">
        <v>21.978999999999999</v>
      </c>
      <c r="X207">
        <v>9.173</v>
      </c>
      <c r="Y207">
        <v>10.635</v>
      </c>
      <c r="Z207">
        <v>-13.747</v>
      </c>
      <c r="AA207">
        <v>26.140999999999998</v>
      </c>
      <c r="AB207">
        <v>18.774000000000001</v>
      </c>
      <c r="AC207">
        <v>11.43</v>
      </c>
      <c r="AD207">
        <v>-15.476000000000001</v>
      </c>
      <c r="AE207">
        <v>-2.1349999999999998</v>
      </c>
      <c r="AF207">
        <v>10.538</v>
      </c>
      <c r="AG207">
        <v>19.260999999999999</v>
      </c>
      <c r="AH207">
        <v>11.038</v>
      </c>
      <c r="AI207">
        <v>24.721</v>
      </c>
      <c r="AJ207">
        <v>-7.2220000000000004</v>
      </c>
      <c r="AK207">
        <v>6.1349999999999998</v>
      </c>
      <c r="AL207">
        <v>18.608000000000001</v>
      </c>
      <c r="AM207">
        <v>-0.89900000000000002</v>
      </c>
      <c r="AN207">
        <v>9.5939999999999994</v>
      </c>
      <c r="AO207">
        <v>13.083</v>
      </c>
      <c r="AP207">
        <v>13.96</v>
      </c>
      <c r="AQ207">
        <v>13.747</v>
      </c>
      <c r="AR207">
        <v>5.7850000000000001</v>
      </c>
      <c r="AS207">
        <v>5.9290000000000003</v>
      </c>
      <c r="AT207">
        <v>5.85</v>
      </c>
      <c r="AU207">
        <v>5.843</v>
      </c>
      <c r="AV207">
        <v>5.819</v>
      </c>
      <c r="AW207">
        <v>5.7949999999999999</v>
      </c>
    </row>
    <row r="208" spans="1:49" x14ac:dyDescent="0.35">
      <c r="A208" t="s">
        <v>150</v>
      </c>
      <c r="B208" t="s">
        <v>93</v>
      </c>
      <c r="C208" t="s">
        <v>94</v>
      </c>
      <c r="D208" t="s">
        <v>95</v>
      </c>
    </row>
    <row r="209" spans="1:49" x14ac:dyDescent="0.35">
      <c r="A209" t="s">
        <v>150</v>
      </c>
      <c r="B209" t="s">
        <v>96</v>
      </c>
      <c r="C209" t="s">
        <v>97</v>
      </c>
      <c r="D209" t="s">
        <v>98</v>
      </c>
      <c r="E209" t="s">
        <v>99</v>
      </c>
    </row>
    <row r="210" spans="1:49" x14ac:dyDescent="0.35">
      <c r="A210" t="s">
        <v>150</v>
      </c>
      <c r="B210" t="s">
        <v>100</v>
      </c>
      <c r="C210" t="s">
        <v>101</v>
      </c>
      <c r="D210" t="s">
        <v>98</v>
      </c>
      <c r="E210" t="s">
        <v>99</v>
      </c>
      <c r="F210" t="s">
        <v>154</v>
      </c>
      <c r="G210">
        <v>1.256</v>
      </c>
      <c r="H210">
        <v>1.2889999999999999</v>
      </c>
      <c r="I210">
        <v>1.323</v>
      </c>
      <c r="J210">
        <v>1.357</v>
      </c>
      <c r="K210">
        <v>1.3320000000000001</v>
      </c>
      <c r="L210">
        <v>1.363</v>
      </c>
      <c r="M210">
        <v>1.397</v>
      </c>
      <c r="N210">
        <v>1.4630000000000001</v>
      </c>
      <c r="O210">
        <v>1.502</v>
      </c>
      <c r="P210">
        <v>1.546</v>
      </c>
      <c r="Q210">
        <v>1.589</v>
      </c>
      <c r="R210">
        <v>1.611</v>
      </c>
      <c r="S210">
        <v>1.675</v>
      </c>
      <c r="T210">
        <v>1.716</v>
      </c>
      <c r="U210">
        <v>1.752</v>
      </c>
      <c r="V210">
        <v>1.841</v>
      </c>
      <c r="W210">
        <v>1.8260000000000001</v>
      </c>
      <c r="X210">
        <v>1.831</v>
      </c>
      <c r="Y210">
        <v>1.835</v>
      </c>
      <c r="Z210">
        <v>1.84</v>
      </c>
      <c r="AA210">
        <v>1.845</v>
      </c>
      <c r="AB210">
        <v>1.849</v>
      </c>
      <c r="AC210">
        <v>1.8540000000000001</v>
      </c>
      <c r="AD210">
        <v>1.859</v>
      </c>
      <c r="AE210">
        <v>1.863</v>
      </c>
      <c r="AF210">
        <v>1.8680000000000001</v>
      </c>
      <c r="AG210">
        <v>1.873</v>
      </c>
      <c r="AH210">
        <v>1.877</v>
      </c>
      <c r="AI210">
        <v>1.8819999999999999</v>
      </c>
      <c r="AJ210">
        <v>1.887</v>
      </c>
      <c r="AK210">
        <v>1.8919999999999999</v>
      </c>
      <c r="AL210">
        <v>1.8959999999999999</v>
      </c>
      <c r="AM210">
        <v>1.901</v>
      </c>
      <c r="AN210">
        <v>1.9059999999999999</v>
      </c>
      <c r="AO210">
        <v>1.911</v>
      </c>
      <c r="AP210">
        <v>1.9159999999999999</v>
      </c>
      <c r="AQ210">
        <v>1.92</v>
      </c>
      <c r="AR210">
        <v>1.925</v>
      </c>
      <c r="AS210">
        <v>1.93</v>
      </c>
      <c r="AT210">
        <v>1.9350000000000001</v>
      </c>
      <c r="AU210">
        <v>1.94</v>
      </c>
      <c r="AV210">
        <v>1.9450000000000001</v>
      </c>
      <c r="AW210">
        <v>1.95</v>
      </c>
    </row>
    <row r="211" spans="1:49" x14ac:dyDescent="0.35">
      <c r="A211" t="s">
        <v>150</v>
      </c>
      <c r="B211" t="s">
        <v>103</v>
      </c>
      <c r="C211" t="s">
        <v>104</v>
      </c>
      <c r="D211" t="s">
        <v>31</v>
      </c>
      <c r="E211" t="s">
        <v>32</v>
      </c>
      <c r="F211" t="s">
        <v>155</v>
      </c>
      <c r="G211" t="s">
        <v>82</v>
      </c>
      <c r="H211" t="s">
        <v>82</v>
      </c>
      <c r="I211">
        <v>0.121</v>
      </c>
      <c r="J211">
        <v>0.14299999999999999</v>
      </c>
      <c r="K211">
        <v>0.18</v>
      </c>
      <c r="L211">
        <v>0.23799999999999999</v>
      </c>
      <c r="M211">
        <v>0.28000000000000003</v>
      </c>
      <c r="N211">
        <v>0.36099999999999999</v>
      </c>
      <c r="O211">
        <v>0.40899999999999997</v>
      </c>
      <c r="P211">
        <v>0.58099999999999996</v>
      </c>
      <c r="Q211">
        <v>0.72799999999999998</v>
      </c>
      <c r="R211">
        <v>0.86699999999999999</v>
      </c>
      <c r="S211">
        <v>1.0029999999999999</v>
      </c>
      <c r="T211">
        <v>1.2509999999999999</v>
      </c>
      <c r="U211">
        <v>1.5029999999999999</v>
      </c>
      <c r="V211">
        <v>1.77</v>
      </c>
      <c r="W211">
        <v>1.8380000000000001</v>
      </c>
      <c r="X211">
        <v>2.1429999999999998</v>
      </c>
      <c r="Y211">
        <v>2.0939999999999999</v>
      </c>
      <c r="Z211">
        <v>2.0449999999999999</v>
      </c>
      <c r="AA211">
        <v>2.3570000000000002</v>
      </c>
      <c r="AB211">
        <v>2.746</v>
      </c>
      <c r="AC211">
        <v>3.1680000000000001</v>
      </c>
      <c r="AD211">
        <v>3.6019999999999999</v>
      </c>
      <c r="AE211">
        <v>4.2480000000000002</v>
      </c>
      <c r="AF211">
        <v>4.6609999999999996</v>
      </c>
      <c r="AG211">
        <v>6.4649999999999999</v>
      </c>
      <c r="AH211">
        <v>7.1829999999999998</v>
      </c>
      <c r="AI211">
        <v>8.8879999999999999</v>
      </c>
      <c r="AJ211">
        <v>9.3279999999999994</v>
      </c>
      <c r="AK211">
        <v>8.5589999999999993</v>
      </c>
      <c r="AL211">
        <v>9.6159999999999997</v>
      </c>
      <c r="AM211">
        <v>13.15</v>
      </c>
      <c r="AN211">
        <v>13.273999999999999</v>
      </c>
      <c r="AO211">
        <v>14.574999999999999</v>
      </c>
      <c r="AP211">
        <v>15.579000000000001</v>
      </c>
      <c r="AQ211">
        <v>13.84</v>
      </c>
      <c r="AR211">
        <v>16.035</v>
      </c>
      <c r="AS211">
        <v>18.024999999999999</v>
      </c>
      <c r="AT211">
        <v>19.68</v>
      </c>
      <c r="AU211">
        <v>21.509</v>
      </c>
      <c r="AV211">
        <v>23.623999999999999</v>
      </c>
      <c r="AW211">
        <v>26.068999999999999</v>
      </c>
    </row>
    <row r="212" spans="1:49" x14ac:dyDescent="0.35">
      <c r="A212" t="s">
        <v>150</v>
      </c>
      <c r="B212" t="s">
        <v>103</v>
      </c>
      <c r="C212" t="s">
        <v>104</v>
      </c>
      <c r="D212" t="s">
        <v>70</v>
      </c>
      <c r="F212" t="s">
        <v>106</v>
      </c>
      <c r="G212" t="s">
        <v>82</v>
      </c>
      <c r="H212" t="s">
        <v>82</v>
      </c>
      <c r="I212">
        <v>27.611000000000001</v>
      </c>
      <c r="J212">
        <v>28.756</v>
      </c>
      <c r="K212">
        <v>31.341000000000001</v>
      </c>
      <c r="L212">
        <v>34.151000000000003</v>
      </c>
      <c r="M212">
        <v>33.76</v>
      </c>
      <c r="N212">
        <v>37.103000000000002</v>
      </c>
      <c r="O212">
        <v>33.158000000000001</v>
      </c>
      <c r="P212">
        <v>39.284999999999997</v>
      </c>
      <c r="Q212">
        <v>41.337000000000003</v>
      </c>
      <c r="R212">
        <v>40.673000000000002</v>
      </c>
      <c r="S212">
        <v>39.267000000000003</v>
      </c>
      <c r="T212">
        <v>42.795999999999999</v>
      </c>
      <c r="U212">
        <v>44.884</v>
      </c>
      <c r="V212">
        <v>46.033000000000001</v>
      </c>
      <c r="W212">
        <v>42.603000000000002</v>
      </c>
      <c r="X212">
        <v>43.957000000000001</v>
      </c>
      <c r="Y212">
        <v>38.853999999999999</v>
      </c>
      <c r="Z212">
        <v>34.991999999999997</v>
      </c>
      <c r="AA212">
        <v>36.512999999999998</v>
      </c>
      <c r="AB212">
        <v>37.423000000000002</v>
      </c>
      <c r="AC212">
        <v>38.667999999999999</v>
      </c>
      <c r="AD212">
        <v>41.228000000000002</v>
      </c>
      <c r="AE212">
        <v>44.664999999999999</v>
      </c>
      <c r="AF212">
        <v>44.677</v>
      </c>
      <c r="AG212">
        <v>55.039000000000001</v>
      </c>
      <c r="AH212">
        <v>52.152999999999999</v>
      </c>
      <c r="AI212">
        <v>55.531999999999996</v>
      </c>
      <c r="AJ212">
        <v>54.411000000000001</v>
      </c>
      <c r="AK212">
        <v>44.55</v>
      </c>
      <c r="AL212">
        <v>44.731999999999999</v>
      </c>
      <c r="AM212">
        <v>56.991999999999997</v>
      </c>
      <c r="AN212">
        <v>51.792000000000002</v>
      </c>
      <c r="AO212">
        <v>51.914999999999999</v>
      </c>
      <c r="AP212">
        <v>51.27</v>
      </c>
      <c r="AQ212">
        <v>41.548999999999999</v>
      </c>
      <c r="AR212">
        <v>43.008000000000003</v>
      </c>
      <c r="AS212">
        <v>44.529000000000003</v>
      </c>
      <c r="AT212">
        <v>44.406999999999996</v>
      </c>
      <c r="AU212">
        <v>44.326000000000001</v>
      </c>
      <c r="AV212">
        <v>44.238999999999997</v>
      </c>
      <c r="AW212">
        <v>44.146999999999998</v>
      </c>
    </row>
    <row r="213" spans="1:49" x14ac:dyDescent="0.35">
      <c r="A213" t="s">
        <v>150</v>
      </c>
      <c r="B213" t="s">
        <v>107</v>
      </c>
      <c r="C213" t="s">
        <v>108</v>
      </c>
      <c r="D213" t="s">
        <v>31</v>
      </c>
      <c r="E213" t="s">
        <v>32</v>
      </c>
      <c r="F213" t="s">
        <v>155</v>
      </c>
      <c r="G213" t="s">
        <v>82</v>
      </c>
      <c r="H213" t="s">
        <v>82</v>
      </c>
      <c r="I213">
        <v>0.13</v>
      </c>
      <c r="J213">
        <v>0.13300000000000001</v>
      </c>
      <c r="K213">
        <v>0.152</v>
      </c>
      <c r="L213">
        <v>0.22600000000000001</v>
      </c>
      <c r="M213">
        <v>0.27200000000000002</v>
      </c>
      <c r="N213">
        <v>0.38700000000000001</v>
      </c>
      <c r="O213">
        <v>0.43099999999999999</v>
      </c>
      <c r="P213">
        <v>0.52300000000000002</v>
      </c>
      <c r="Q213">
        <v>0.57299999999999995</v>
      </c>
      <c r="R213">
        <v>0.66</v>
      </c>
      <c r="S213">
        <v>0.88300000000000001</v>
      </c>
      <c r="T213">
        <v>1.032</v>
      </c>
      <c r="U213">
        <v>1.3140000000000001</v>
      </c>
      <c r="V213">
        <v>1.575</v>
      </c>
      <c r="W213">
        <v>1.748</v>
      </c>
      <c r="X213">
        <v>2.1309999999999998</v>
      </c>
      <c r="Y213">
        <v>2.7240000000000002</v>
      </c>
      <c r="Z213">
        <v>2.931</v>
      </c>
      <c r="AA213">
        <v>2.4180000000000001</v>
      </c>
      <c r="AB213">
        <v>2.9470000000000001</v>
      </c>
      <c r="AC213">
        <v>3.367</v>
      </c>
      <c r="AD213">
        <v>3.5190000000000001</v>
      </c>
      <c r="AE213">
        <v>3.6389999999999998</v>
      </c>
      <c r="AF213">
        <v>4.2709999999999999</v>
      </c>
      <c r="AG213">
        <v>5.0620000000000003</v>
      </c>
      <c r="AH213">
        <v>5.9160000000000004</v>
      </c>
      <c r="AI213">
        <v>7.7069999999999999</v>
      </c>
      <c r="AJ213">
        <v>9.9090000000000007</v>
      </c>
      <c r="AK213">
        <v>9.2560000000000002</v>
      </c>
      <c r="AL213">
        <v>11.566000000000001</v>
      </c>
      <c r="AM213">
        <v>12.16</v>
      </c>
      <c r="AN213">
        <v>13.826000000000001</v>
      </c>
      <c r="AO213">
        <v>14.792999999999999</v>
      </c>
      <c r="AP213">
        <v>15.724</v>
      </c>
      <c r="AQ213">
        <v>16.13</v>
      </c>
      <c r="AR213">
        <v>17.698</v>
      </c>
      <c r="AS213">
        <v>18.501999999999999</v>
      </c>
      <c r="AT213">
        <v>19.574000000000002</v>
      </c>
      <c r="AU213">
        <v>21.396999999999998</v>
      </c>
      <c r="AV213">
        <v>23.524000000000001</v>
      </c>
      <c r="AW213">
        <v>25.975999999999999</v>
      </c>
    </row>
    <row r="214" spans="1:49" x14ac:dyDescent="0.35">
      <c r="A214" t="s">
        <v>150</v>
      </c>
      <c r="B214" t="s">
        <v>107</v>
      </c>
      <c r="C214" t="s">
        <v>108</v>
      </c>
      <c r="D214" t="s">
        <v>70</v>
      </c>
      <c r="F214" t="s">
        <v>109</v>
      </c>
      <c r="G214" t="s">
        <v>82</v>
      </c>
      <c r="H214" t="s">
        <v>82</v>
      </c>
      <c r="I214">
        <v>29.535</v>
      </c>
      <c r="J214">
        <v>26.843</v>
      </c>
      <c r="K214">
        <v>26.488</v>
      </c>
      <c r="L214">
        <v>32.39</v>
      </c>
      <c r="M214">
        <v>32.795999999999999</v>
      </c>
      <c r="N214">
        <v>39.804000000000002</v>
      </c>
      <c r="O214">
        <v>34.906999999999996</v>
      </c>
      <c r="P214">
        <v>35.335000000000001</v>
      </c>
      <c r="Q214">
        <v>32.540999999999997</v>
      </c>
      <c r="R214">
        <v>30.928999999999998</v>
      </c>
      <c r="S214">
        <v>34.572000000000003</v>
      </c>
      <c r="T214">
        <v>35.311999999999998</v>
      </c>
      <c r="U214">
        <v>39.243000000000002</v>
      </c>
      <c r="V214">
        <v>40.948</v>
      </c>
      <c r="W214">
        <v>40.509</v>
      </c>
      <c r="X214">
        <v>43.692999999999998</v>
      </c>
      <c r="Y214">
        <v>50.533000000000001</v>
      </c>
      <c r="Z214">
        <v>50.152000000000001</v>
      </c>
      <c r="AA214">
        <v>37.463999999999999</v>
      </c>
      <c r="AB214">
        <v>40.162999999999997</v>
      </c>
      <c r="AC214">
        <v>41.094000000000001</v>
      </c>
      <c r="AD214">
        <v>40.277999999999999</v>
      </c>
      <c r="AE214">
        <v>38.262</v>
      </c>
      <c r="AF214">
        <v>40.941000000000003</v>
      </c>
      <c r="AG214">
        <v>43.097999999999999</v>
      </c>
      <c r="AH214">
        <v>42.951000000000001</v>
      </c>
      <c r="AI214">
        <v>48.152000000000001</v>
      </c>
      <c r="AJ214">
        <v>57.801000000000002</v>
      </c>
      <c r="AK214">
        <v>48.173999999999999</v>
      </c>
      <c r="AL214">
        <v>53.805999999999997</v>
      </c>
      <c r="AM214">
        <v>52.704000000000001</v>
      </c>
      <c r="AN214">
        <v>53.944000000000003</v>
      </c>
      <c r="AO214">
        <v>52.692</v>
      </c>
      <c r="AP214">
        <v>51.744999999999997</v>
      </c>
      <c r="AQ214">
        <v>48.424999999999997</v>
      </c>
      <c r="AR214">
        <v>47.47</v>
      </c>
      <c r="AS214">
        <v>45.709000000000003</v>
      </c>
      <c r="AT214">
        <v>44.168999999999997</v>
      </c>
      <c r="AU214">
        <v>44.094000000000001</v>
      </c>
      <c r="AV214">
        <v>44.052</v>
      </c>
      <c r="AW214">
        <v>43.99</v>
      </c>
    </row>
    <row r="215" spans="1:49" x14ac:dyDescent="0.35">
      <c r="A215" t="s">
        <v>150</v>
      </c>
      <c r="B215" t="s">
        <v>110</v>
      </c>
      <c r="C215" t="s">
        <v>111</v>
      </c>
      <c r="D215" t="s">
        <v>31</v>
      </c>
      <c r="E215" t="s">
        <v>32</v>
      </c>
      <c r="F215" t="s">
        <v>155</v>
      </c>
      <c r="G215" t="s">
        <v>82</v>
      </c>
      <c r="H215" t="s">
        <v>82</v>
      </c>
      <c r="I215">
        <v>-8.0000000000000002E-3</v>
      </c>
      <c r="J215">
        <v>8.9999999999999993E-3</v>
      </c>
      <c r="K215">
        <v>2.8000000000000001E-2</v>
      </c>
      <c r="L215">
        <v>1.2E-2</v>
      </c>
      <c r="M215">
        <v>8.0000000000000002E-3</v>
      </c>
      <c r="N215">
        <v>-2.5999999999999999E-2</v>
      </c>
      <c r="O215">
        <v>-2.1999999999999999E-2</v>
      </c>
      <c r="P215">
        <v>5.8000000000000003E-2</v>
      </c>
      <c r="Q215">
        <v>0.155</v>
      </c>
      <c r="R215">
        <v>0.20799999999999999</v>
      </c>
      <c r="S215">
        <v>0.12</v>
      </c>
      <c r="T215">
        <v>0.219</v>
      </c>
      <c r="U215">
        <v>0.189</v>
      </c>
      <c r="V215">
        <v>0.19600000000000001</v>
      </c>
      <c r="W215">
        <v>0.09</v>
      </c>
      <c r="X215">
        <v>1.2999999999999999E-2</v>
      </c>
      <c r="Y215">
        <v>-0.63</v>
      </c>
      <c r="Z215">
        <v>-0.88600000000000001</v>
      </c>
      <c r="AA215">
        <v>-6.0999999999999999E-2</v>
      </c>
      <c r="AB215">
        <v>-0.20100000000000001</v>
      </c>
      <c r="AC215">
        <v>-0.19900000000000001</v>
      </c>
      <c r="AD215">
        <v>8.3000000000000004E-2</v>
      </c>
      <c r="AE215">
        <v>0.60899999999999999</v>
      </c>
      <c r="AF215">
        <v>0.39</v>
      </c>
      <c r="AG215">
        <v>1.403</v>
      </c>
      <c r="AH215">
        <v>1.2669999999999999</v>
      </c>
      <c r="AI215">
        <v>1.181</v>
      </c>
      <c r="AJ215">
        <v>-0.58099999999999996</v>
      </c>
      <c r="AK215">
        <v>-0.69599999999999995</v>
      </c>
      <c r="AL215">
        <v>-1.95</v>
      </c>
      <c r="AM215">
        <v>0.98899999999999999</v>
      </c>
      <c r="AN215">
        <v>-0.55200000000000005</v>
      </c>
      <c r="AO215">
        <v>-0.218</v>
      </c>
      <c r="AP215">
        <v>-0.14399999999999999</v>
      </c>
      <c r="AQ215">
        <v>-2.29</v>
      </c>
      <c r="AR215">
        <v>-1.663</v>
      </c>
      <c r="AS215">
        <v>-0.47799999999999998</v>
      </c>
      <c r="AT215">
        <v>0.106</v>
      </c>
      <c r="AU215">
        <v>0.112</v>
      </c>
      <c r="AV215">
        <v>0.1</v>
      </c>
      <c r="AW215">
        <v>9.2999999999999999E-2</v>
      </c>
    </row>
    <row r="216" spans="1:49" x14ac:dyDescent="0.35">
      <c r="A216" t="s">
        <v>150</v>
      </c>
      <c r="B216" t="s">
        <v>110</v>
      </c>
      <c r="C216" t="s">
        <v>111</v>
      </c>
      <c r="D216" t="s">
        <v>70</v>
      </c>
      <c r="F216" t="s">
        <v>112</v>
      </c>
      <c r="G216" t="s">
        <v>82</v>
      </c>
      <c r="H216" t="s">
        <v>82</v>
      </c>
      <c r="I216">
        <v>-1.925</v>
      </c>
      <c r="J216">
        <v>1.913</v>
      </c>
      <c r="K216">
        <v>4.8529999999999998</v>
      </c>
      <c r="L216">
        <v>1.7609999999999999</v>
      </c>
      <c r="M216">
        <v>0.96399999999999997</v>
      </c>
      <c r="N216">
        <v>-2.7010000000000001</v>
      </c>
      <c r="O216">
        <v>-1.7490000000000001</v>
      </c>
      <c r="P216">
        <v>3.9489999999999998</v>
      </c>
      <c r="Q216">
        <v>8.7949999999999999</v>
      </c>
      <c r="R216">
        <v>9.7439999999999998</v>
      </c>
      <c r="S216">
        <v>4.6950000000000003</v>
      </c>
      <c r="T216">
        <v>7.4829999999999997</v>
      </c>
      <c r="U216">
        <v>5.6420000000000003</v>
      </c>
      <c r="V216">
        <v>5.085</v>
      </c>
      <c r="W216">
        <v>2.0939999999999999</v>
      </c>
      <c r="X216">
        <v>0.26400000000000001</v>
      </c>
      <c r="Y216">
        <v>-11.679</v>
      </c>
      <c r="Z216">
        <v>-15.16</v>
      </c>
      <c r="AA216">
        <v>-0.95099999999999996</v>
      </c>
      <c r="AB216">
        <v>-2.74</v>
      </c>
      <c r="AC216">
        <v>-2.4249999999999998</v>
      </c>
      <c r="AD216">
        <v>0.95</v>
      </c>
      <c r="AE216">
        <v>6.4029999999999996</v>
      </c>
      <c r="AF216">
        <v>3.7360000000000002</v>
      </c>
      <c r="AG216">
        <v>11.941000000000001</v>
      </c>
      <c r="AH216">
        <v>9.202</v>
      </c>
      <c r="AI216">
        <v>7.3810000000000002</v>
      </c>
      <c r="AJ216">
        <v>-3.39</v>
      </c>
      <c r="AK216">
        <v>-3.6240000000000001</v>
      </c>
      <c r="AL216">
        <v>-9.0739999999999998</v>
      </c>
      <c r="AM216">
        <v>4.2880000000000003</v>
      </c>
      <c r="AN216">
        <v>-2.1520000000000001</v>
      </c>
      <c r="AO216">
        <v>-0.77600000000000002</v>
      </c>
      <c r="AP216">
        <v>-0.47499999999999998</v>
      </c>
      <c r="AQ216">
        <v>-6.8760000000000003</v>
      </c>
      <c r="AR216">
        <v>-4.4619999999999997</v>
      </c>
      <c r="AS216">
        <v>-1.18</v>
      </c>
      <c r="AT216">
        <v>0.23899999999999999</v>
      </c>
      <c r="AU216">
        <v>0.23100000000000001</v>
      </c>
      <c r="AV216">
        <v>0.187</v>
      </c>
      <c r="AW216">
        <v>0.157</v>
      </c>
    </row>
    <row r="217" spans="1:49" x14ac:dyDescent="0.35">
      <c r="A217" t="s">
        <v>150</v>
      </c>
      <c r="B217" t="s">
        <v>113</v>
      </c>
      <c r="C217" t="s">
        <v>114</v>
      </c>
      <c r="D217" t="s">
        <v>31</v>
      </c>
      <c r="E217" t="s">
        <v>32</v>
      </c>
    </row>
    <row r="218" spans="1:49" x14ac:dyDescent="0.35">
      <c r="A218" t="s">
        <v>150</v>
      </c>
      <c r="B218" t="s">
        <v>113</v>
      </c>
      <c r="C218" t="s">
        <v>114</v>
      </c>
      <c r="D218" t="s">
        <v>61</v>
      </c>
    </row>
    <row r="219" spans="1:49" x14ac:dyDescent="0.35">
      <c r="A219" t="s">
        <v>150</v>
      </c>
      <c r="B219" t="s">
        <v>115</v>
      </c>
      <c r="C219" t="s">
        <v>116</v>
      </c>
      <c r="D219" t="s">
        <v>31</v>
      </c>
      <c r="E219" t="s">
        <v>32</v>
      </c>
      <c r="F219" t="s">
        <v>155</v>
      </c>
      <c r="G219" t="s">
        <v>82</v>
      </c>
      <c r="H219" t="s">
        <v>82</v>
      </c>
      <c r="I219">
        <v>5.0000000000000001E-3</v>
      </c>
      <c r="J219">
        <v>2.5999999999999999E-2</v>
      </c>
      <c r="K219">
        <v>4.2000000000000003E-2</v>
      </c>
      <c r="L219">
        <v>2.8000000000000001E-2</v>
      </c>
      <c r="M219">
        <v>2.8000000000000001E-2</v>
      </c>
      <c r="N219">
        <v>1E-3</v>
      </c>
      <c r="O219">
        <v>1.0999999999999999E-2</v>
      </c>
      <c r="P219">
        <v>0.127</v>
      </c>
      <c r="Q219">
        <v>0.22800000000000001</v>
      </c>
      <c r="R219">
        <v>0.23200000000000001</v>
      </c>
      <c r="S219">
        <v>0.16500000000000001</v>
      </c>
      <c r="T219">
        <v>0.23699999999999999</v>
      </c>
      <c r="U219">
        <v>0.183</v>
      </c>
      <c r="V219">
        <v>0.156</v>
      </c>
      <c r="W219">
        <v>-0.05</v>
      </c>
      <c r="X219">
        <v>-0.114</v>
      </c>
      <c r="Y219">
        <v>-0.72</v>
      </c>
      <c r="Z219">
        <v>-0.88500000000000001</v>
      </c>
      <c r="AA219">
        <v>5.2999999999999999E-2</v>
      </c>
      <c r="AB219">
        <v>-8.3000000000000004E-2</v>
      </c>
      <c r="AC219">
        <v>-6.0000000000000001E-3</v>
      </c>
      <c r="AD219">
        <v>0.216</v>
      </c>
      <c r="AE219">
        <v>0.754</v>
      </c>
      <c r="AF219">
        <v>0.59899999999999998</v>
      </c>
      <c r="AG219">
        <v>1.706</v>
      </c>
      <c r="AH219">
        <v>1.556</v>
      </c>
      <c r="AI219">
        <v>1.29</v>
      </c>
      <c r="AJ219">
        <v>-0.47099999999999997</v>
      </c>
      <c r="AK219">
        <v>-0.60799999999999998</v>
      </c>
      <c r="AL219">
        <v>-1.819</v>
      </c>
      <c r="AM219">
        <v>1.155</v>
      </c>
      <c r="AN219">
        <v>-0.38300000000000001</v>
      </c>
      <c r="AO219">
        <v>3.0000000000000001E-3</v>
      </c>
      <c r="AP219">
        <v>0.157</v>
      </c>
      <c r="AQ219">
        <v>-2.008</v>
      </c>
      <c r="AR219">
        <v>-1.218</v>
      </c>
      <c r="AS219">
        <v>6.0000000000000001E-3</v>
      </c>
      <c r="AT219">
        <v>0.67900000000000005</v>
      </c>
      <c r="AU219">
        <v>0.72099999999999997</v>
      </c>
      <c r="AV219">
        <v>0.78700000000000003</v>
      </c>
      <c r="AW219">
        <v>0.85899999999999999</v>
      </c>
    </row>
    <row r="220" spans="1:49" x14ac:dyDescent="0.35">
      <c r="A220" t="s">
        <v>150</v>
      </c>
      <c r="B220" t="s">
        <v>115</v>
      </c>
      <c r="C220" t="s">
        <v>116</v>
      </c>
      <c r="D220" t="s">
        <v>70</v>
      </c>
      <c r="F220" t="s">
        <v>117</v>
      </c>
      <c r="G220" t="s">
        <v>82</v>
      </c>
      <c r="H220" t="s">
        <v>82</v>
      </c>
      <c r="I220">
        <v>1.0409999999999999</v>
      </c>
      <c r="J220">
        <v>5.194</v>
      </c>
      <c r="K220">
        <v>7.4039999999999999</v>
      </c>
      <c r="L220">
        <v>3.9740000000000002</v>
      </c>
      <c r="M220">
        <v>3.411</v>
      </c>
      <c r="N220">
        <v>7.8E-2</v>
      </c>
      <c r="O220">
        <v>0.88800000000000001</v>
      </c>
      <c r="P220">
        <v>8.5660000000000007</v>
      </c>
      <c r="Q220">
        <v>12.972</v>
      </c>
      <c r="R220">
        <v>10.882999999999999</v>
      </c>
      <c r="S220">
        <v>6.4420000000000002</v>
      </c>
      <c r="T220">
        <v>8.1189999999999998</v>
      </c>
      <c r="U220">
        <v>5.4770000000000003</v>
      </c>
      <c r="V220">
        <v>4.0490000000000004</v>
      </c>
      <c r="W220">
        <v>-1.151</v>
      </c>
      <c r="X220">
        <v>-2.3359999999999999</v>
      </c>
      <c r="Y220">
        <v>-13.355</v>
      </c>
      <c r="Z220">
        <v>-15.148</v>
      </c>
      <c r="AA220">
        <v>0.82899999999999996</v>
      </c>
      <c r="AB220">
        <v>-1.135</v>
      </c>
      <c r="AC220">
        <v>-6.9000000000000006E-2</v>
      </c>
      <c r="AD220">
        <v>2.472</v>
      </c>
      <c r="AE220">
        <v>7.931</v>
      </c>
      <c r="AF220">
        <v>5.7409999999999997</v>
      </c>
      <c r="AG220">
        <v>14.522</v>
      </c>
      <c r="AH220">
        <v>11.298999999999999</v>
      </c>
      <c r="AI220">
        <v>8.0579999999999998</v>
      </c>
      <c r="AJ220">
        <v>-2.7469999999999999</v>
      </c>
      <c r="AK220">
        <v>-3.1629999999999998</v>
      </c>
      <c r="AL220">
        <v>-8.4600000000000009</v>
      </c>
      <c r="AM220">
        <v>5.0049999999999999</v>
      </c>
      <c r="AN220">
        <v>-1.496</v>
      </c>
      <c r="AO220">
        <v>0.01</v>
      </c>
      <c r="AP220">
        <v>0.51800000000000002</v>
      </c>
      <c r="AQ220">
        <v>-6.0279999999999996</v>
      </c>
      <c r="AR220">
        <v>-3.266</v>
      </c>
      <c r="AS220">
        <v>1.6E-2</v>
      </c>
      <c r="AT220">
        <v>1.5329999999999999</v>
      </c>
      <c r="AU220">
        <v>1.4850000000000001</v>
      </c>
      <c r="AV220">
        <v>1.474</v>
      </c>
      <c r="AW220">
        <v>1.4550000000000001</v>
      </c>
    </row>
    <row r="221" spans="1:49" x14ac:dyDescent="0.35">
      <c r="A221" t="s">
        <v>150</v>
      </c>
      <c r="B221" t="s">
        <v>118</v>
      </c>
      <c r="C221" t="s">
        <v>119</v>
      </c>
      <c r="D221" t="s">
        <v>31</v>
      </c>
      <c r="E221" t="s">
        <v>32</v>
      </c>
      <c r="F221" t="s">
        <v>155</v>
      </c>
      <c r="G221" t="s">
        <v>82</v>
      </c>
      <c r="H221" t="s">
        <v>82</v>
      </c>
      <c r="I221" t="s">
        <v>82</v>
      </c>
      <c r="J221" t="s">
        <v>82</v>
      </c>
      <c r="K221" t="s">
        <v>82</v>
      </c>
      <c r="L221" t="s">
        <v>82</v>
      </c>
      <c r="M221" t="s">
        <v>82</v>
      </c>
      <c r="N221" t="s">
        <v>82</v>
      </c>
      <c r="O221" t="s">
        <v>82</v>
      </c>
      <c r="P221" t="s">
        <v>82</v>
      </c>
      <c r="Q221" t="s">
        <v>82</v>
      </c>
      <c r="R221" t="s">
        <v>82</v>
      </c>
      <c r="S221" t="s">
        <v>82</v>
      </c>
      <c r="T221" t="s">
        <v>82</v>
      </c>
      <c r="U221" t="s">
        <v>82</v>
      </c>
      <c r="V221" t="s">
        <v>82</v>
      </c>
      <c r="W221" t="s">
        <v>82</v>
      </c>
      <c r="X221" t="s">
        <v>82</v>
      </c>
      <c r="Y221" t="s">
        <v>82</v>
      </c>
      <c r="Z221" t="s">
        <v>82</v>
      </c>
      <c r="AA221">
        <v>1.4999999999999999E-2</v>
      </c>
      <c r="AB221">
        <v>8.0000000000000002E-3</v>
      </c>
      <c r="AC221">
        <v>8.9999999999999993E-3</v>
      </c>
      <c r="AD221">
        <v>1.877</v>
      </c>
      <c r="AE221">
        <v>1.3440000000000001</v>
      </c>
      <c r="AF221">
        <v>1.86</v>
      </c>
      <c r="AG221">
        <v>0.66300000000000003</v>
      </c>
      <c r="AH221">
        <v>-0.374</v>
      </c>
      <c r="AI221">
        <v>-1.552</v>
      </c>
      <c r="AJ221">
        <v>-2.5750000000000002</v>
      </c>
      <c r="AK221">
        <v>-0.73099999999999998</v>
      </c>
      <c r="AL221">
        <v>0.17199999999999999</v>
      </c>
      <c r="AM221">
        <v>-0.84499999999999997</v>
      </c>
      <c r="AN221">
        <v>-0.629</v>
      </c>
      <c r="AO221">
        <v>-0.71399999999999997</v>
      </c>
      <c r="AP221">
        <v>1.131</v>
      </c>
      <c r="AQ221">
        <v>2.859</v>
      </c>
      <c r="AR221">
        <v>3.831</v>
      </c>
      <c r="AS221">
        <v>2.8490000000000002</v>
      </c>
      <c r="AT221">
        <v>2.1659999999999999</v>
      </c>
      <c r="AU221">
        <v>3.6509999999999998</v>
      </c>
      <c r="AV221">
        <v>6.68</v>
      </c>
      <c r="AW221">
        <v>8.5139999999999993</v>
      </c>
    </row>
    <row r="222" spans="1:49" x14ac:dyDescent="0.35">
      <c r="A222" t="s">
        <v>150</v>
      </c>
      <c r="B222" t="s">
        <v>118</v>
      </c>
      <c r="C222" t="s">
        <v>119</v>
      </c>
      <c r="D222" t="s">
        <v>70</v>
      </c>
      <c r="F222" t="s">
        <v>134</v>
      </c>
      <c r="G222" t="s">
        <v>82</v>
      </c>
      <c r="H222" t="s">
        <v>82</v>
      </c>
      <c r="I222" t="s">
        <v>82</v>
      </c>
      <c r="J222" t="s">
        <v>82</v>
      </c>
      <c r="K222" t="s">
        <v>82</v>
      </c>
      <c r="L222" t="s">
        <v>82</v>
      </c>
      <c r="M222" t="s">
        <v>82</v>
      </c>
      <c r="N222" t="s">
        <v>82</v>
      </c>
      <c r="O222" t="s">
        <v>82</v>
      </c>
      <c r="P222" t="s">
        <v>82</v>
      </c>
      <c r="Q222" t="s">
        <v>82</v>
      </c>
      <c r="R222" t="s">
        <v>82</v>
      </c>
      <c r="S222" t="s">
        <v>82</v>
      </c>
      <c r="T222" t="s">
        <v>82</v>
      </c>
      <c r="U222" t="s">
        <v>82</v>
      </c>
      <c r="V222" t="s">
        <v>82</v>
      </c>
      <c r="W222" t="s">
        <v>82</v>
      </c>
      <c r="X222" t="s">
        <v>82</v>
      </c>
      <c r="Y222" t="s">
        <v>82</v>
      </c>
      <c r="Z222" t="s">
        <v>82</v>
      </c>
      <c r="AA222">
        <v>0.22600000000000001</v>
      </c>
      <c r="AB222">
        <v>0.11</v>
      </c>
      <c r="AC222">
        <v>0.111</v>
      </c>
      <c r="AD222">
        <v>21.486000000000001</v>
      </c>
      <c r="AE222">
        <v>14.135</v>
      </c>
      <c r="AF222">
        <v>17.831</v>
      </c>
      <c r="AG222">
        <v>5.6449999999999996</v>
      </c>
      <c r="AH222">
        <v>-2.7170000000000001</v>
      </c>
      <c r="AI222">
        <v>-9.6950000000000003</v>
      </c>
      <c r="AJ222">
        <v>-15.022</v>
      </c>
      <c r="AK222">
        <v>-3.806</v>
      </c>
      <c r="AL222">
        <v>0.80200000000000005</v>
      </c>
      <c r="AM222">
        <v>-3.6629999999999998</v>
      </c>
      <c r="AN222">
        <v>-2.4529999999999998</v>
      </c>
      <c r="AO222">
        <v>-2.5449999999999999</v>
      </c>
      <c r="AP222">
        <v>3.7229999999999999</v>
      </c>
      <c r="AQ222">
        <v>8.5839999999999996</v>
      </c>
      <c r="AR222">
        <v>10.276999999999999</v>
      </c>
      <c r="AS222">
        <v>7.0389999999999997</v>
      </c>
      <c r="AT222">
        <v>4.8879999999999999</v>
      </c>
      <c r="AU222">
        <v>7.5229999999999997</v>
      </c>
      <c r="AV222">
        <v>12.509</v>
      </c>
      <c r="AW222">
        <v>14.419</v>
      </c>
    </row>
    <row r="223" spans="1:49" x14ac:dyDescent="0.35">
      <c r="A223" t="s">
        <v>150</v>
      </c>
      <c r="B223" t="s">
        <v>120</v>
      </c>
      <c r="C223" t="s">
        <v>121</v>
      </c>
      <c r="D223" t="s">
        <v>31</v>
      </c>
      <c r="E223" t="s">
        <v>32</v>
      </c>
      <c r="F223" t="s">
        <v>155</v>
      </c>
      <c r="G223" t="s">
        <v>82</v>
      </c>
      <c r="H223" t="s">
        <v>82</v>
      </c>
      <c r="I223" t="s">
        <v>82</v>
      </c>
      <c r="J223" t="s">
        <v>82</v>
      </c>
      <c r="K223" t="s">
        <v>82</v>
      </c>
      <c r="L223" t="s">
        <v>82</v>
      </c>
      <c r="M223" t="s">
        <v>82</v>
      </c>
      <c r="N223" t="s">
        <v>82</v>
      </c>
      <c r="O223">
        <v>0.28199999999999997</v>
      </c>
      <c r="P223">
        <v>0.37</v>
      </c>
      <c r="Q223">
        <v>0.311</v>
      </c>
      <c r="R223">
        <v>0.249</v>
      </c>
      <c r="S223">
        <v>1.613</v>
      </c>
      <c r="T223">
        <v>2.0409999999999999</v>
      </c>
      <c r="U223">
        <v>2.2000000000000002</v>
      </c>
      <c r="V223">
        <v>2.3690000000000002</v>
      </c>
      <c r="W223">
        <v>3.0310000000000001</v>
      </c>
      <c r="X223">
        <v>3.14</v>
      </c>
      <c r="Y223">
        <v>4.1970000000000001</v>
      </c>
      <c r="Z223">
        <v>4.7549999999999999</v>
      </c>
      <c r="AA223">
        <v>5.6</v>
      </c>
      <c r="AB223">
        <v>7.9329999999999998</v>
      </c>
      <c r="AC223">
        <v>6.5579999999999998</v>
      </c>
      <c r="AD223">
        <v>4.6929999999999996</v>
      </c>
      <c r="AE223">
        <v>4.5439999999999996</v>
      </c>
      <c r="AF223">
        <v>5.391</v>
      </c>
      <c r="AG223">
        <v>6.3029999999999999</v>
      </c>
      <c r="AH223">
        <v>6.8680000000000003</v>
      </c>
      <c r="AI223">
        <v>6.9749999999999996</v>
      </c>
      <c r="AJ223">
        <v>5.53</v>
      </c>
      <c r="AK223">
        <v>5.7939999999999996</v>
      </c>
      <c r="AL223">
        <v>6.7530000000000001</v>
      </c>
      <c r="AM223">
        <v>8.1630000000000003</v>
      </c>
      <c r="AN223">
        <v>9.6969999999999992</v>
      </c>
      <c r="AO223">
        <v>11.819000000000001</v>
      </c>
      <c r="AP223">
        <v>15.115</v>
      </c>
      <c r="AQ223">
        <v>15.909000000000001</v>
      </c>
      <c r="AR223">
        <v>17.265999999999998</v>
      </c>
      <c r="AS223">
        <v>18.413</v>
      </c>
      <c r="AT223">
        <v>19.484000000000002</v>
      </c>
      <c r="AU223">
        <v>20.808</v>
      </c>
      <c r="AV223">
        <v>22.405000000000001</v>
      </c>
      <c r="AW223">
        <v>24.216000000000001</v>
      </c>
    </row>
    <row r="224" spans="1:49" x14ac:dyDescent="0.35">
      <c r="A224" t="s">
        <v>150</v>
      </c>
      <c r="B224" t="s">
        <v>120</v>
      </c>
      <c r="C224" t="s">
        <v>121</v>
      </c>
      <c r="D224" t="s">
        <v>70</v>
      </c>
      <c r="F224" t="s">
        <v>122</v>
      </c>
      <c r="G224" t="s">
        <v>82</v>
      </c>
      <c r="H224" t="s">
        <v>82</v>
      </c>
      <c r="I224" t="s">
        <v>82</v>
      </c>
      <c r="J224" t="s">
        <v>82</v>
      </c>
      <c r="K224" t="s">
        <v>82</v>
      </c>
      <c r="L224" t="s">
        <v>82</v>
      </c>
      <c r="M224" t="s">
        <v>82</v>
      </c>
      <c r="N224" t="s">
        <v>82</v>
      </c>
      <c r="O224">
        <v>22.876999999999999</v>
      </c>
      <c r="P224">
        <v>25.021999999999998</v>
      </c>
      <c r="Q224">
        <v>17.638999999999999</v>
      </c>
      <c r="R224">
        <v>11.675000000000001</v>
      </c>
      <c r="S224">
        <v>63.167999999999999</v>
      </c>
      <c r="T224">
        <v>69.822999999999993</v>
      </c>
      <c r="U224">
        <v>65.688000000000002</v>
      </c>
      <c r="V224">
        <v>61.609000000000002</v>
      </c>
      <c r="W224">
        <v>70.242999999999995</v>
      </c>
      <c r="X224">
        <v>64.393000000000001</v>
      </c>
      <c r="Y224">
        <v>77.87</v>
      </c>
      <c r="Z224">
        <v>81.353999999999999</v>
      </c>
      <c r="AA224">
        <v>86.757999999999996</v>
      </c>
      <c r="AB224">
        <v>108.11</v>
      </c>
      <c r="AC224">
        <v>80.046000000000006</v>
      </c>
      <c r="AD224">
        <v>53.710999999999999</v>
      </c>
      <c r="AE224">
        <v>47.768999999999998</v>
      </c>
      <c r="AF224">
        <v>51.668999999999997</v>
      </c>
      <c r="AG224">
        <v>53.66</v>
      </c>
      <c r="AH224">
        <v>49.868000000000002</v>
      </c>
      <c r="AI224">
        <v>43.576999999999998</v>
      </c>
      <c r="AJ224">
        <v>32.253</v>
      </c>
      <c r="AK224">
        <v>30.155999999999999</v>
      </c>
      <c r="AL224">
        <v>31.416</v>
      </c>
      <c r="AM224">
        <v>35.380000000000003</v>
      </c>
      <c r="AN224">
        <v>37.835000000000001</v>
      </c>
      <c r="AO224">
        <v>42.097999999999999</v>
      </c>
      <c r="AP224">
        <v>49.741999999999997</v>
      </c>
      <c r="AQ224">
        <v>47.76</v>
      </c>
      <c r="AR224">
        <v>46.31</v>
      </c>
      <c r="AS224">
        <v>45.487000000000002</v>
      </c>
      <c r="AT224">
        <v>43.965000000000003</v>
      </c>
      <c r="AU224">
        <v>42.881</v>
      </c>
      <c r="AV224">
        <v>41.956000000000003</v>
      </c>
      <c r="AW224">
        <v>41.009</v>
      </c>
    </row>
    <row r="225" spans="1:49" x14ac:dyDescent="0.35">
      <c r="A225" t="s">
        <v>150</v>
      </c>
      <c r="B225" t="s">
        <v>123</v>
      </c>
      <c r="C225" t="s">
        <v>124</v>
      </c>
      <c r="D225" t="s">
        <v>31</v>
      </c>
      <c r="E225" t="s">
        <v>32</v>
      </c>
      <c r="F225" t="s">
        <v>155</v>
      </c>
      <c r="G225">
        <v>0.373</v>
      </c>
      <c r="H225">
        <v>0.42399999999999999</v>
      </c>
      <c r="I225">
        <v>0.439</v>
      </c>
      <c r="J225">
        <v>0.496</v>
      </c>
      <c r="K225">
        <v>0.57399999999999995</v>
      </c>
      <c r="L225">
        <v>0.69799999999999995</v>
      </c>
      <c r="M225">
        <v>0.83</v>
      </c>
      <c r="N225">
        <v>0.97299999999999998</v>
      </c>
      <c r="O225">
        <v>1.234</v>
      </c>
      <c r="P225">
        <v>1.48</v>
      </c>
      <c r="Q225">
        <v>1.7609999999999999</v>
      </c>
      <c r="R225">
        <v>2.1320000000000001</v>
      </c>
      <c r="S225">
        <v>2.5539999999999998</v>
      </c>
      <c r="T225">
        <v>2.923</v>
      </c>
      <c r="U225">
        <v>3.3490000000000002</v>
      </c>
      <c r="V225">
        <v>3.8460000000000001</v>
      </c>
      <c r="W225">
        <v>4.3150000000000004</v>
      </c>
      <c r="X225">
        <v>4.8760000000000003</v>
      </c>
      <c r="Y225">
        <v>5.39</v>
      </c>
      <c r="Z225">
        <v>5.8440000000000003</v>
      </c>
      <c r="AA225">
        <v>6.4550000000000001</v>
      </c>
      <c r="AB225">
        <v>7.3380000000000001</v>
      </c>
      <c r="AC225">
        <v>8.1929999999999996</v>
      </c>
      <c r="AD225">
        <v>8.7379999999999995</v>
      </c>
      <c r="AE225">
        <v>9.5109999999999992</v>
      </c>
      <c r="AF225">
        <v>10.433</v>
      </c>
      <c r="AG225">
        <v>11.744999999999999</v>
      </c>
      <c r="AH225">
        <v>13.773</v>
      </c>
      <c r="AI225">
        <v>16.006</v>
      </c>
      <c r="AJ225">
        <v>17.143999999999998</v>
      </c>
      <c r="AK225">
        <v>19.213000000000001</v>
      </c>
      <c r="AL225">
        <v>21.495999999999999</v>
      </c>
      <c r="AM225">
        <v>23.073</v>
      </c>
      <c r="AN225">
        <v>25.63</v>
      </c>
      <c r="AO225">
        <v>28.074999999999999</v>
      </c>
      <c r="AP225">
        <v>30.387</v>
      </c>
      <c r="AQ225">
        <v>33.31</v>
      </c>
      <c r="AR225">
        <v>37.283999999999999</v>
      </c>
      <c r="AS225">
        <v>40.478999999999999</v>
      </c>
      <c r="AT225">
        <v>44.317</v>
      </c>
      <c r="AU225">
        <v>48.524999999999999</v>
      </c>
      <c r="AV225">
        <v>53.401000000000003</v>
      </c>
      <c r="AW225">
        <v>59.048999999999999</v>
      </c>
    </row>
    <row r="226" spans="1:49" x14ac:dyDescent="0.35">
      <c r="A226" t="s">
        <v>150</v>
      </c>
      <c r="B226" t="s">
        <v>125</v>
      </c>
      <c r="C226" t="s">
        <v>126</v>
      </c>
      <c r="D226" t="s">
        <v>41</v>
      </c>
      <c r="E226" t="s">
        <v>32</v>
      </c>
      <c r="F226" t="s">
        <v>156</v>
      </c>
      <c r="G226">
        <v>-3.9E-2</v>
      </c>
      <c r="H226">
        <v>-5.1999999999999998E-2</v>
      </c>
      <c r="I226">
        <v>0.13300000000000001</v>
      </c>
      <c r="J226">
        <v>0.17</v>
      </c>
      <c r="K226">
        <v>0.17399999999999999</v>
      </c>
      <c r="L226">
        <v>0.14699999999999999</v>
      </c>
      <c r="M226">
        <v>0.16200000000000001</v>
      </c>
      <c r="N226">
        <v>0.218</v>
      </c>
      <c r="O226">
        <v>8.2000000000000003E-2</v>
      </c>
      <c r="P226">
        <v>8.6999999999999994E-2</v>
      </c>
      <c r="Q226">
        <v>0.183</v>
      </c>
      <c r="R226">
        <v>-0.23699999999999999</v>
      </c>
      <c r="S226">
        <v>-0.16700000000000001</v>
      </c>
      <c r="T226">
        <v>-7.9000000000000001E-2</v>
      </c>
      <c r="U226">
        <v>-6.7000000000000004E-2</v>
      </c>
      <c r="V226">
        <v>-0.19500000000000001</v>
      </c>
      <c r="W226">
        <v>-0.253</v>
      </c>
      <c r="X226">
        <v>-0.312</v>
      </c>
      <c r="Y226">
        <v>-0.183</v>
      </c>
      <c r="Z226">
        <v>-0.24399999999999999</v>
      </c>
      <c r="AA226">
        <v>-4.2999999999999997E-2</v>
      </c>
      <c r="AB226">
        <v>4.2999999999999997E-2</v>
      </c>
      <c r="AC226">
        <v>5.1999999999999998E-2</v>
      </c>
      <c r="AD226">
        <v>2.5999999999999999E-2</v>
      </c>
      <c r="AE226">
        <v>0.151</v>
      </c>
      <c r="AF226">
        <v>0.153</v>
      </c>
      <c r="AG226">
        <v>0.318</v>
      </c>
      <c r="AH226">
        <v>0.36199999999999999</v>
      </c>
      <c r="AI226">
        <v>0.33700000000000002</v>
      </c>
      <c r="AJ226">
        <v>3.1E-2</v>
      </c>
      <c r="AK226">
        <v>-0.22</v>
      </c>
      <c r="AL226">
        <v>-0.38300000000000001</v>
      </c>
      <c r="AM226">
        <v>-0.23</v>
      </c>
      <c r="AN226">
        <v>-0.14499999999999999</v>
      </c>
      <c r="AO226">
        <v>-0.13300000000000001</v>
      </c>
      <c r="AP226">
        <v>-0.113</v>
      </c>
      <c r="AQ226">
        <v>-0.17399999999999999</v>
      </c>
      <c r="AR226">
        <v>-0.23200000000000001</v>
      </c>
      <c r="AS226">
        <v>-0.27100000000000002</v>
      </c>
      <c r="AT226">
        <v>-0.254</v>
      </c>
      <c r="AU226">
        <v>-0.25600000000000001</v>
      </c>
      <c r="AV226">
        <v>-0.374</v>
      </c>
      <c r="AW226">
        <v>-0.47699999999999998</v>
      </c>
    </row>
    <row r="227" spans="1:49" x14ac:dyDescent="0.35">
      <c r="A227" t="s">
        <v>150</v>
      </c>
      <c r="B227" t="s">
        <v>125</v>
      </c>
      <c r="C227" t="s">
        <v>126</v>
      </c>
      <c r="D227" t="s">
        <v>70</v>
      </c>
      <c r="F227" t="s">
        <v>128</v>
      </c>
      <c r="G227">
        <v>-8.0559999999999992</v>
      </c>
      <c r="H227">
        <v>-10.743</v>
      </c>
      <c r="I227">
        <v>32.807000000000002</v>
      </c>
      <c r="J227">
        <v>38.255000000000003</v>
      </c>
      <c r="K227">
        <v>43.595999999999997</v>
      </c>
      <c r="L227">
        <v>46.259</v>
      </c>
      <c r="M227">
        <v>44.143999999999998</v>
      </c>
      <c r="N227">
        <v>45.503</v>
      </c>
      <c r="O227">
        <v>15.177</v>
      </c>
      <c r="P227">
        <v>15.348000000000001</v>
      </c>
      <c r="Q227">
        <v>26.919</v>
      </c>
      <c r="R227">
        <v>-30.748999999999999</v>
      </c>
      <c r="S227">
        <v>-18.602</v>
      </c>
      <c r="T227">
        <v>-8.8620000000000001</v>
      </c>
      <c r="U227">
        <v>-7.1340000000000003</v>
      </c>
      <c r="V227">
        <v>-18.387</v>
      </c>
      <c r="W227">
        <v>-25.196000000000002</v>
      </c>
      <c r="X227">
        <v>-29.530999999999999</v>
      </c>
      <c r="Y227">
        <v>-18.806999999999999</v>
      </c>
      <c r="Z227">
        <v>-25.462</v>
      </c>
      <c r="AA227">
        <v>-4.601</v>
      </c>
      <c r="AB227">
        <v>5.0919999999999996</v>
      </c>
      <c r="AC227">
        <v>6.6589999999999998</v>
      </c>
      <c r="AD227">
        <v>2.2469999999999999</v>
      </c>
      <c r="AE227">
        <v>10.266</v>
      </c>
      <c r="AF227">
        <v>9.3309999999999995</v>
      </c>
      <c r="AG227">
        <v>18.317</v>
      </c>
      <c r="AH227">
        <v>18.510000000000002</v>
      </c>
      <c r="AI227">
        <v>17.414999999999999</v>
      </c>
      <c r="AJ227">
        <v>1.5269999999999999</v>
      </c>
      <c r="AK227">
        <v>-8.3870000000000005</v>
      </c>
      <c r="AL227">
        <v>-12.942</v>
      </c>
      <c r="AM227">
        <v>-8.1820000000000004</v>
      </c>
      <c r="AN227">
        <v>-5.4720000000000004</v>
      </c>
      <c r="AO227">
        <v>-5.157</v>
      </c>
      <c r="AP227">
        <v>-4.7569999999999997</v>
      </c>
      <c r="AQ227">
        <v>-7.6660000000000004</v>
      </c>
      <c r="AR227">
        <v>-8.5180000000000007</v>
      </c>
      <c r="AS227">
        <v>-9.3940000000000001</v>
      </c>
      <c r="AT227">
        <v>-8.3339999999999996</v>
      </c>
      <c r="AU227">
        <v>-7.96</v>
      </c>
      <c r="AV227">
        <v>-10.993</v>
      </c>
      <c r="AW227">
        <v>-13.191000000000001</v>
      </c>
    </row>
    <row r="228" spans="1:49" x14ac:dyDescent="0.35">
      <c r="A228" t="s">
        <v>8</v>
      </c>
      <c r="B228" t="s">
        <v>29</v>
      </c>
      <c r="C228" t="s">
        <v>30</v>
      </c>
      <c r="D228" t="s">
        <v>31</v>
      </c>
      <c r="E228" t="s">
        <v>32</v>
      </c>
      <c r="F228" t="s">
        <v>157</v>
      </c>
      <c r="G228" s="27">
        <v>4211.68</v>
      </c>
      <c r="H228" s="27">
        <v>3798.93</v>
      </c>
      <c r="I228" s="27">
        <v>3726.75</v>
      </c>
      <c r="J228" s="27">
        <v>3760.3</v>
      </c>
      <c r="K228" s="27">
        <v>3826.48</v>
      </c>
      <c r="L228" s="27">
        <v>3870.73</v>
      </c>
      <c r="M228" s="27">
        <v>3946.61</v>
      </c>
      <c r="N228" s="27">
        <v>3992.97</v>
      </c>
      <c r="O228" s="27">
        <v>4129.01</v>
      </c>
      <c r="P228" s="27">
        <v>4297.2700000000004</v>
      </c>
      <c r="Q228" s="27">
        <v>4431.72</v>
      </c>
      <c r="R228" s="27">
        <v>4152.24</v>
      </c>
      <c r="S228" s="27">
        <v>4201.28</v>
      </c>
      <c r="T228" s="27">
        <v>4289.5</v>
      </c>
      <c r="U228" s="27">
        <v>4287.6899999999996</v>
      </c>
      <c r="V228" s="27">
        <v>4359.67</v>
      </c>
      <c r="W228" s="27">
        <v>4453.58</v>
      </c>
      <c r="X228" s="27">
        <v>4618.07</v>
      </c>
      <c r="Y228" s="27">
        <v>4798.97</v>
      </c>
      <c r="Z228" s="27">
        <v>5024.4799999999996</v>
      </c>
      <c r="AA228" s="27">
        <v>5248.42</v>
      </c>
      <c r="AB228" s="27">
        <v>5562.28</v>
      </c>
      <c r="AC228" s="27">
        <v>4872.12</v>
      </c>
      <c r="AD228" s="27">
        <v>5348.85</v>
      </c>
      <c r="AE228" s="27">
        <v>5630.04</v>
      </c>
      <c r="AF228" s="27">
        <v>5897.79</v>
      </c>
      <c r="AG228" s="27">
        <v>6216.19</v>
      </c>
      <c r="AH228" s="27">
        <v>6615.27</v>
      </c>
      <c r="AI228" s="27">
        <v>7092</v>
      </c>
      <c r="AJ228" s="27">
        <v>6756.81</v>
      </c>
      <c r="AK228" s="27">
        <v>6774.59</v>
      </c>
      <c r="AL228" s="27">
        <v>6873.12</v>
      </c>
      <c r="AM228" s="27">
        <v>7081.2</v>
      </c>
      <c r="AN228" s="27">
        <v>7240.9</v>
      </c>
      <c r="AO228" s="27">
        <v>7481</v>
      </c>
      <c r="AP228" s="27">
        <v>7714.15</v>
      </c>
      <c r="AQ228" s="27">
        <v>8036.6</v>
      </c>
      <c r="AR228" s="27">
        <v>8385.09</v>
      </c>
      <c r="AS228" s="27">
        <v>8831.15</v>
      </c>
      <c r="AT228" s="27">
        <v>9348</v>
      </c>
      <c r="AU228" s="27">
        <v>9861.09</v>
      </c>
      <c r="AV228" s="27">
        <v>10371.469999999999</v>
      </c>
      <c r="AW228" s="27">
        <v>10890.14</v>
      </c>
    </row>
    <row r="229" spans="1:49" x14ac:dyDescent="0.35">
      <c r="A229" t="s">
        <v>8</v>
      </c>
      <c r="B229" t="s">
        <v>29</v>
      </c>
      <c r="C229" t="s">
        <v>34</v>
      </c>
      <c r="D229" t="s">
        <v>35</v>
      </c>
      <c r="F229" t="s">
        <v>36</v>
      </c>
      <c r="G229">
        <v>0.78800000000000003</v>
      </c>
      <c r="H229">
        <v>-9.8000000000000007</v>
      </c>
      <c r="I229">
        <v>-1.9</v>
      </c>
      <c r="J229">
        <v>0.9</v>
      </c>
      <c r="K229">
        <v>1.76</v>
      </c>
      <c r="L229">
        <v>1.1559999999999999</v>
      </c>
      <c r="M229">
        <v>1.96</v>
      </c>
      <c r="N229">
        <v>1.175</v>
      </c>
      <c r="O229">
        <v>3.407</v>
      </c>
      <c r="P229">
        <v>4.0750000000000002</v>
      </c>
      <c r="Q229">
        <v>3.129</v>
      </c>
      <c r="R229">
        <v>-6.306</v>
      </c>
      <c r="S229">
        <v>1.181</v>
      </c>
      <c r="T229">
        <v>2.1</v>
      </c>
      <c r="U229">
        <v>-4.2000000000000003E-2</v>
      </c>
      <c r="V229">
        <v>1.679</v>
      </c>
      <c r="W229">
        <v>2.1539999999999999</v>
      </c>
      <c r="X229">
        <v>3.6930000000000001</v>
      </c>
      <c r="Y229">
        <v>3.9169999999999998</v>
      </c>
      <c r="Z229">
        <v>4.6989999999999998</v>
      </c>
      <c r="AA229">
        <v>4.4569999999999999</v>
      </c>
      <c r="AB229">
        <v>5.98</v>
      </c>
      <c r="AC229">
        <v>-12.407999999999999</v>
      </c>
      <c r="AD229">
        <v>9.7850000000000001</v>
      </c>
      <c r="AE229">
        <v>5.2569999999999997</v>
      </c>
      <c r="AF229">
        <v>4.7560000000000002</v>
      </c>
      <c r="AG229">
        <v>5.399</v>
      </c>
      <c r="AH229">
        <v>6.42</v>
      </c>
      <c r="AI229">
        <v>7.2069999999999999</v>
      </c>
      <c r="AJ229">
        <v>-4.726</v>
      </c>
      <c r="AK229">
        <v>0.26300000000000001</v>
      </c>
      <c r="AL229">
        <v>1.4550000000000001</v>
      </c>
      <c r="AM229">
        <v>3.0270000000000001</v>
      </c>
      <c r="AN229">
        <v>2.2549999999999999</v>
      </c>
      <c r="AO229">
        <v>3.3159999999999998</v>
      </c>
      <c r="AP229">
        <v>3.117</v>
      </c>
      <c r="AQ229">
        <v>4.18</v>
      </c>
      <c r="AR229">
        <v>4.3360000000000003</v>
      </c>
      <c r="AS229">
        <v>5.32</v>
      </c>
      <c r="AT229">
        <v>5.8529999999999998</v>
      </c>
      <c r="AU229">
        <v>5.4889999999999999</v>
      </c>
      <c r="AV229">
        <v>5.1760000000000002</v>
      </c>
      <c r="AW229">
        <v>5.0010000000000003</v>
      </c>
    </row>
    <row r="230" spans="1:49" x14ac:dyDescent="0.35">
      <c r="A230" t="s">
        <v>8</v>
      </c>
      <c r="B230" t="s">
        <v>37</v>
      </c>
      <c r="C230" t="s">
        <v>38</v>
      </c>
      <c r="D230" t="s">
        <v>31</v>
      </c>
      <c r="E230" t="s">
        <v>32</v>
      </c>
      <c r="F230" t="s">
        <v>157</v>
      </c>
      <c r="G230">
        <v>170.8</v>
      </c>
      <c r="H230">
        <v>195.363</v>
      </c>
      <c r="I230">
        <v>246.642</v>
      </c>
      <c r="J230">
        <v>302.30500000000001</v>
      </c>
      <c r="K230">
        <v>339</v>
      </c>
      <c r="L230">
        <v>378.64</v>
      </c>
      <c r="M230">
        <v>440.76</v>
      </c>
      <c r="N230">
        <v>548.64</v>
      </c>
      <c r="O230">
        <v>687.36</v>
      </c>
      <c r="P230">
        <v>801.06</v>
      </c>
      <c r="Q230">
        <v>920.78</v>
      </c>
      <c r="R230">
        <v>982.72</v>
      </c>
      <c r="S230" s="27">
        <v>1118.6199999999999</v>
      </c>
      <c r="T230" s="27">
        <v>1290.18</v>
      </c>
      <c r="U230" s="27">
        <v>1826.24</v>
      </c>
      <c r="V230" s="27">
        <v>2695.74</v>
      </c>
      <c r="W230" s="27">
        <v>3244.89</v>
      </c>
      <c r="X230" s="27">
        <v>3610.03</v>
      </c>
      <c r="Y230" s="27">
        <v>4068.35</v>
      </c>
      <c r="Z230" s="27">
        <v>4676.79</v>
      </c>
      <c r="AA230" s="27">
        <v>5248.42</v>
      </c>
      <c r="AB230" s="27">
        <v>5968.62</v>
      </c>
      <c r="AC230" s="27">
        <v>6008.37</v>
      </c>
      <c r="AD230" s="27">
        <v>6778.63</v>
      </c>
      <c r="AE230" s="27">
        <v>8155.57</v>
      </c>
      <c r="AF230" s="27">
        <v>10093.83</v>
      </c>
      <c r="AG230" s="27">
        <v>11816.69</v>
      </c>
      <c r="AH230" s="27">
        <v>13759.73</v>
      </c>
      <c r="AI230" s="27">
        <v>16080.9</v>
      </c>
      <c r="AJ230" s="27">
        <v>16726.27</v>
      </c>
      <c r="AK230" s="27">
        <v>18245.13</v>
      </c>
      <c r="AL230" s="27">
        <v>20033.89</v>
      </c>
      <c r="AM230" s="27">
        <v>21773.59</v>
      </c>
      <c r="AN230" s="27">
        <v>23397.02</v>
      </c>
      <c r="AO230" s="27">
        <v>25774.54</v>
      </c>
      <c r="AP230" s="27">
        <v>28584.82</v>
      </c>
      <c r="AQ230" s="27">
        <v>31769.18</v>
      </c>
      <c r="AR230" s="27">
        <v>35730.76</v>
      </c>
      <c r="AS230" s="27">
        <v>40182.81</v>
      </c>
      <c r="AT230" s="27">
        <v>45303.65</v>
      </c>
      <c r="AU230" s="27">
        <v>50397.599999999999</v>
      </c>
      <c r="AV230" s="27">
        <v>55845.56</v>
      </c>
      <c r="AW230" s="27">
        <v>61570.25</v>
      </c>
    </row>
    <row r="231" spans="1:49" x14ac:dyDescent="0.35">
      <c r="A231" t="s">
        <v>8</v>
      </c>
      <c r="B231" t="s">
        <v>37</v>
      </c>
      <c r="C231" t="s">
        <v>40</v>
      </c>
      <c r="D231" t="s">
        <v>41</v>
      </c>
      <c r="E231" t="s">
        <v>32</v>
      </c>
      <c r="F231" t="s">
        <v>42</v>
      </c>
      <c r="G231">
        <v>4.0419999999999998</v>
      </c>
      <c r="H231">
        <v>3.5950000000000002</v>
      </c>
      <c r="I231">
        <v>3.5259999999999998</v>
      </c>
      <c r="J231">
        <v>3.512</v>
      </c>
      <c r="K231">
        <v>2.9390000000000001</v>
      </c>
      <c r="L231">
        <v>2.8580000000000001</v>
      </c>
      <c r="M231">
        <v>3.258</v>
      </c>
      <c r="N231">
        <v>2.5659999999999998</v>
      </c>
      <c r="O231">
        <v>2.4420000000000002</v>
      </c>
      <c r="P231">
        <v>2.4980000000000002</v>
      </c>
      <c r="Q231">
        <v>3.081</v>
      </c>
      <c r="R231">
        <v>2.677</v>
      </c>
      <c r="S231">
        <v>3.0009999999999999</v>
      </c>
      <c r="T231">
        <v>3.371</v>
      </c>
      <c r="U231">
        <v>2.9769999999999999</v>
      </c>
      <c r="V231">
        <v>3.16</v>
      </c>
      <c r="W231">
        <v>3.9950000000000001</v>
      </c>
      <c r="X231">
        <v>3.5459999999999998</v>
      </c>
      <c r="Y231">
        <v>3.738</v>
      </c>
      <c r="Z231">
        <v>3.7210000000000001</v>
      </c>
      <c r="AA231">
        <v>3.8780000000000001</v>
      </c>
      <c r="AB231">
        <v>4.53</v>
      </c>
      <c r="AC231">
        <v>4.3970000000000002</v>
      </c>
      <c r="AD231">
        <v>5.4740000000000002</v>
      </c>
      <c r="AE231">
        <v>4.3639999999999999</v>
      </c>
      <c r="AF231">
        <v>5.0389999999999997</v>
      </c>
      <c r="AG231">
        <v>5.516</v>
      </c>
      <c r="AH231">
        <v>7.343</v>
      </c>
      <c r="AI231">
        <v>9.4130000000000003</v>
      </c>
      <c r="AJ231">
        <v>8.5500000000000007</v>
      </c>
      <c r="AK231">
        <v>8.73</v>
      </c>
      <c r="AL231">
        <v>9.8930000000000007</v>
      </c>
      <c r="AM231">
        <v>9.92</v>
      </c>
      <c r="AN231">
        <v>10.602</v>
      </c>
      <c r="AO231">
        <v>10.673999999999999</v>
      </c>
      <c r="AP231">
        <v>9.7439999999999998</v>
      </c>
      <c r="AQ231">
        <v>10.000999999999999</v>
      </c>
      <c r="AR231">
        <v>10.557</v>
      </c>
      <c r="AS231">
        <v>11.161</v>
      </c>
      <c r="AT231">
        <v>12.009</v>
      </c>
      <c r="AU231">
        <v>12.896000000000001</v>
      </c>
      <c r="AV231">
        <v>13.840999999999999</v>
      </c>
      <c r="AW231">
        <v>14.760999999999999</v>
      </c>
    </row>
    <row r="232" spans="1:49" x14ac:dyDescent="0.35">
      <c r="A232" t="s">
        <v>8</v>
      </c>
      <c r="B232" t="s">
        <v>37</v>
      </c>
      <c r="C232" t="s">
        <v>43</v>
      </c>
      <c r="D232" t="s">
        <v>44</v>
      </c>
      <c r="E232" t="s">
        <v>32</v>
      </c>
      <c r="F232" t="s">
        <v>42</v>
      </c>
      <c r="G232">
        <v>7.827</v>
      </c>
      <c r="H232">
        <v>7.7190000000000003</v>
      </c>
      <c r="I232">
        <v>8.0419999999999998</v>
      </c>
      <c r="J232">
        <v>8.4350000000000005</v>
      </c>
      <c r="K232">
        <v>8.8879999999999999</v>
      </c>
      <c r="L232">
        <v>9.2780000000000005</v>
      </c>
      <c r="M232">
        <v>9.6509999999999998</v>
      </c>
      <c r="N232">
        <v>10.013999999999999</v>
      </c>
      <c r="O232">
        <v>10.717000000000001</v>
      </c>
      <c r="P232">
        <v>11.587999999999999</v>
      </c>
      <c r="Q232">
        <v>12.391999999999999</v>
      </c>
      <c r="R232">
        <v>11.997</v>
      </c>
      <c r="S232">
        <v>12.416</v>
      </c>
      <c r="T232">
        <v>12.978</v>
      </c>
      <c r="U232">
        <v>13.249000000000001</v>
      </c>
      <c r="V232">
        <v>13.752000000000001</v>
      </c>
      <c r="W232">
        <v>14.305</v>
      </c>
      <c r="X232">
        <v>15.087</v>
      </c>
      <c r="Y232">
        <v>15.848000000000001</v>
      </c>
      <c r="Z232">
        <v>16.847000000000001</v>
      </c>
      <c r="AA232">
        <v>17.998000000000001</v>
      </c>
      <c r="AB232">
        <v>19.509</v>
      </c>
      <c r="AC232">
        <v>17.350999999999999</v>
      </c>
      <c r="AD232">
        <v>19.428000000000001</v>
      </c>
      <c r="AE232">
        <v>21.012</v>
      </c>
      <c r="AF232">
        <v>22.719000000000001</v>
      </c>
      <c r="AG232">
        <v>24.681999999999999</v>
      </c>
      <c r="AH232">
        <v>26.965</v>
      </c>
      <c r="AI232">
        <v>29.475000000000001</v>
      </c>
      <c r="AJ232">
        <v>28.295999999999999</v>
      </c>
      <c r="AK232">
        <v>28.716999999999999</v>
      </c>
      <c r="AL232">
        <v>29.736000000000001</v>
      </c>
      <c r="AM232">
        <v>31.2</v>
      </c>
      <c r="AN232">
        <v>32.418999999999997</v>
      </c>
      <c r="AO232">
        <v>34.094999999999999</v>
      </c>
      <c r="AP232">
        <v>35.539000000000001</v>
      </c>
      <c r="AQ232">
        <v>37.497</v>
      </c>
      <c r="AR232">
        <v>39.805</v>
      </c>
      <c r="AS232">
        <v>42.735999999999997</v>
      </c>
      <c r="AT232">
        <v>46.201999999999998</v>
      </c>
      <c r="AU232">
        <v>49.762999999999998</v>
      </c>
      <c r="AV232">
        <v>53.426000000000002</v>
      </c>
      <c r="AW232">
        <v>57.177</v>
      </c>
    </row>
    <row r="233" spans="1:49" x14ac:dyDescent="0.35">
      <c r="A233" t="s">
        <v>8</v>
      </c>
      <c r="B233" t="s">
        <v>45</v>
      </c>
      <c r="C233" t="s">
        <v>46</v>
      </c>
      <c r="D233" t="s">
        <v>47</v>
      </c>
      <c r="F233" t="s">
        <v>48</v>
      </c>
      <c r="G233">
        <v>4.0549999999999997</v>
      </c>
      <c r="H233">
        <v>5.1429999999999998</v>
      </c>
      <c r="I233">
        <v>6.6180000000000003</v>
      </c>
      <c r="J233">
        <v>8.0389999999999997</v>
      </c>
      <c r="K233">
        <v>8.859</v>
      </c>
      <c r="L233">
        <v>9.782</v>
      </c>
      <c r="M233">
        <v>11.167999999999999</v>
      </c>
      <c r="N233">
        <v>13.74</v>
      </c>
      <c r="O233">
        <v>16.646999999999998</v>
      </c>
      <c r="P233">
        <v>18.640999999999998</v>
      </c>
      <c r="Q233">
        <v>20.777000000000001</v>
      </c>
      <c r="R233">
        <v>23.667000000000002</v>
      </c>
      <c r="S233">
        <v>26.626000000000001</v>
      </c>
      <c r="T233">
        <v>30.077999999999999</v>
      </c>
      <c r="U233">
        <v>42.593000000000004</v>
      </c>
      <c r="V233">
        <v>61.834000000000003</v>
      </c>
      <c r="W233">
        <v>72.86</v>
      </c>
      <c r="X233">
        <v>78.171999999999997</v>
      </c>
      <c r="Y233">
        <v>84.775000000000006</v>
      </c>
      <c r="Z233">
        <v>93.08</v>
      </c>
      <c r="AA233">
        <v>100</v>
      </c>
      <c r="AB233">
        <v>107.30500000000001</v>
      </c>
      <c r="AC233">
        <v>123.322</v>
      </c>
      <c r="AD233">
        <v>126.73099999999999</v>
      </c>
      <c r="AE233">
        <v>144.858</v>
      </c>
      <c r="AF233">
        <v>171.14599999999999</v>
      </c>
      <c r="AG233">
        <v>190.095</v>
      </c>
      <c r="AH233">
        <v>208</v>
      </c>
      <c r="AI233">
        <v>226.74700000000001</v>
      </c>
      <c r="AJ233">
        <v>247.547</v>
      </c>
      <c r="AK233">
        <v>269.31700000000001</v>
      </c>
      <c r="AL233">
        <v>291.48099999999999</v>
      </c>
      <c r="AM233">
        <v>307.48399999999998</v>
      </c>
      <c r="AN233">
        <v>323.12299999999999</v>
      </c>
      <c r="AO233">
        <v>344.53300000000002</v>
      </c>
      <c r="AP233">
        <v>370.55</v>
      </c>
      <c r="AQ233">
        <v>395.30599999999998</v>
      </c>
      <c r="AR233">
        <v>426.12299999999999</v>
      </c>
      <c r="AS233">
        <v>455.012</v>
      </c>
      <c r="AT233">
        <v>484.63499999999999</v>
      </c>
      <c r="AU233">
        <v>511.07499999999999</v>
      </c>
      <c r="AV233">
        <v>538.45399999999995</v>
      </c>
      <c r="AW233">
        <v>565.37599999999998</v>
      </c>
    </row>
    <row r="234" spans="1:49" x14ac:dyDescent="0.35">
      <c r="A234" t="s">
        <v>8</v>
      </c>
      <c r="B234" t="s">
        <v>49</v>
      </c>
      <c r="C234" t="s">
        <v>50</v>
      </c>
      <c r="D234" t="s">
        <v>31</v>
      </c>
      <c r="E234" t="s">
        <v>26</v>
      </c>
      <c r="F234" t="s">
        <v>51</v>
      </c>
      <c r="G234" s="27">
        <v>481526.4</v>
      </c>
      <c r="H234" s="27">
        <v>422879.32</v>
      </c>
      <c r="I234" s="27">
        <v>404172.89</v>
      </c>
      <c r="J234" s="27">
        <v>397395.75</v>
      </c>
      <c r="K234" s="27">
        <v>393900.37</v>
      </c>
      <c r="L234" s="27">
        <v>387805.47</v>
      </c>
      <c r="M234" s="27">
        <v>384495.69</v>
      </c>
      <c r="N234" s="27">
        <v>377997.62</v>
      </c>
      <c r="O234" s="27">
        <v>379583.06</v>
      </c>
      <c r="P234" s="27">
        <v>383494.37</v>
      </c>
      <c r="Q234" s="27">
        <v>383839.05</v>
      </c>
      <c r="R234" s="27">
        <v>348978.72</v>
      </c>
      <c r="S234" s="27">
        <v>342572.55</v>
      </c>
      <c r="T234" s="27">
        <v>339255.37</v>
      </c>
      <c r="U234" s="27">
        <v>328817</v>
      </c>
      <c r="V234" s="27">
        <v>324077.84999999998</v>
      </c>
      <c r="W234" s="27">
        <v>320802.09000000003</v>
      </c>
      <c r="X234" s="27">
        <v>322283.3</v>
      </c>
      <c r="Y234" s="27">
        <v>324468.45</v>
      </c>
      <c r="Z234" s="27">
        <v>329197.57</v>
      </c>
      <c r="AA234" s="27">
        <v>333342.61</v>
      </c>
      <c r="AB234" s="27">
        <v>342594.48</v>
      </c>
      <c r="AC234" s="27">
        <v>291115.5</v>
      </c>
      <c r="AD234" s="27">
        <v>310163.15999999997</v>
      </c>
      <c r="AE234" s="27">
        <v>316946.56</v>
      </c>
      <c r="AF234" s="27">
        <v>322453.09000000003</v>
      </c>
      <c r="AG234" s="27">
        <v>330189.33</v>
      </c>
      <c r="AH234" s="27">
        <v>341503.06</v>
      </c>
      <c r="AI234" s="27">
        <v>355902.61</v>
      </c>
      <c r="AJ234" s="27">
        <v>329669.69</v>
      </c>
      <c r="AK234" s="27">
        <v>321382.2</v>
      </c>
      <c r="AL234" s="27">
        <v>317042.59999999998</v>
      </c>
      <c r="AM234" s="27">
        <v>317632.23</v>
      </c>
      <c r="AN234" s="27">
        <v>315857.78000000003</v>
      </c>
      <c r="AO234" s="27">
        <v>317371.81</v>
      </c>
      <c r="AP234" s="27">
        <v>318301.09000000003</v>
      </c>
      <c r="AQ234" s="27">
        <v>322547.84000000003</v>
      </c>
      <c r="AR234" s="27">
        <v>327376.28999999998</v>
      </c>
      <c r="AS234" s="27">
        <v>335453.71000000002</v>
      </c>
      <c r="AT234" s="27">
        <v>345518.36</v>
      </c>
      <c r="AU234" s="27">
        <v>354728.18</v>
      </c>
      <c r="AV234" s="27">
        <v>363184.92</v>
      </c>
      <c r="AW234" s="27">
        <v>371296.89</v>
      </c>
    </row>
    <row r="235" spans="1:49" x14ac:dyDescent="0.35">
      <c r="A235" t="s">
        <v>8</v>
      </c>
      <c r="B235" t="s">
        <v>49</v>
      </c>
      <c r="C235" t="s">
        <v>52</v>
      </c>
      <c r="D235" t="s">
        <v>53</v>
      </c>
      <c r="E235" t="s">
        <v>26</v>
      </c>
      <c r="F235" t="s">
        <v>51</v>
      </c>
      <c r="G235" s="27">
        <v>2083.27</v>
      </c>
      <c r="H235" s="27">
        <v>1829.54</v>
      </c>
      <c r="I235" s="27">
        <v>1748.61</v>
      </c>
      <c r="J235" s="27">
        <v>1719.29</v>
      </c>
      <c r="K235" s="27">
        <v>1704.17</v>
      </c>
      <c r="L235" s="27">
        <v>1677.8</v>
      </c>
      <c r="M235" s="27">
        <v>1663.48</v>
      </c>
      <c r="N235" s="27">
        <v>1635.36</v>
      </c>
      <c r="O235" s="27">
        <v>1642.22</v>
      </c>
      <c r="P235" s="27">
        <v>1659.15</v>
      </c>
      <c r="Q235" s="27">
        <v>1660.64</v>
      </c>
      <c r="R235" s="27">
        <v>1509.82</v>
      </c>
      <c r="S235" s="27">
        <v>1482.1</v>
      </c>
      <c r="T235" s="27">
        <v>1467.75</v>
      </c>
      <c r="U235" s="27">
        <v>1422.59</v>
      </c>
      <c r="V235" s="27">
        <v>1402.09</v>
      </c>
      <c r="W235" s="27">
        <v>1387.91</v>
      </c>
      <c r="X235" s="27">
        <v>1394.32</v>
      </c>
      <c r="Y235" s="27">
        <v>1403.78</v>
      </c>
      <c r="Z235" s="27">
        <v>1424.24</v>
      </c>
      <c r="AA235" s="27">
        <v>1442.17</v>
      </c>
      <c r="AB235" s="27">
        <v>1482.2</v>
      </c>
      <c r="AC235" s="27">
        <v>1259.48</v>
      </c>
      <c r="AD235" s="27">
        <v>1341.89</v>
      </c>
      <c r="AE235" s="27">
        <v>1371.23</v>
      </c>
      <c r="AF235" s="27">
        <v>1395.06</v>
      </c>
      <c r="AG235" s="27">
        <v>1428.53</v>
      </c>
      <c r="AH235" s="27">
        <v>1477.47</v>
      </c>
      <c r="AI235" s="27">
        <v>1539.77</v>
      </c>
      <c r="AJ235" s="27">
        <v>1426.28</v>
      </c>
      <c r="AK235" s="27">
        <v>1390.42</v>
      </c>
      <c r="AL235" s="27">
        <v>1371.65</v>
      </c>
      <c r="AM235" s="27">
        <v>1374.2</v>
      </c>
      <c r="AN235" s="27">
        <v>1366.52</v>
      </c>
      <c r="AO235" s="27">
        <v>1373.07</v>
      </c>
      <c r="AP235" s="27">
        <v>1377.09</v>
      </c>
      <c r="AQ235" s="27">
        <v>1395.47</v>
      </c>
      <c r="AR235" s="27">
        <v>1416.36</v>
      </c>
      <c r="AS235" s="27">
        <v>1451.3</v>
      </c>
      <c r="AT235" s="27">
        <v>1494.85</v>
      </c>
      <c r="AU235" s="27">
        <v>1534.69</v>
      </c>
      <c r="AV235" s="27">
        <v>1571.28</v>
      </c>
      <c r="AW235" s="27">
        <v>1606.37</v>
      </c>
    </row>
    <row r="236" spans="1:49" x14ac:dyDescent="0.35">
      <c r="A236" t="s">
        <v>8</v>
      </c>
      <c r="B236" t="s">
        <v>54</v>
      </c>
      <c r="C236" t="s">
        <v>55</v>
      </c>
      <c r="D236" t="s">
        <v>31</v>
      </c>
      <c r="E236" t="s">
        <v>26</v>
      </c>
      <c r="F236" t="s">
        <v>56</v>
      </c>
      <c r="G236" s="27">
        <v>19527.78</v>
      </c>
      <c r="H236" s="27">
        <v>21746.84</v>
      </c>
      <c r="I236" s="27">
        <v>26748.77</v>
      </c>
      <c r="J236" s="27">
        <v>31948.18</v>
      </c>
      <c r="K236" s="27">
        <v>34896.86</v>
      </c>
      <c r="L236" s="27">
        <v>37935.65</v>
      </c>
      <c r="M236" s="27">
        <v>42940.78</v>
      </c>
      <c r="N236" s="27">
        <v>51937.38</v>
      </c>
      <c r="O236" s="27">
        <v>63189.5</v>
      </c>
      <c r="P236" s="27">
        <v>71487.8</v>
      </c>
      <c r="Q236" s="27">
        <v>79750.34</v>
      </c>
      <c r="R236" s="27">
        <v>82593.539999999994</v>
      </c>
      <c r="S236" s="27">
        <v>91212.43</v>
      </c>
      <c r="T236" s="27">
        <v>102040.01</v>
      </c>
      <c r="U236" s="27">
        <v>140051.72</v>
      </c>
      <c r="V236" s="27">
        <v>200388.74</v>
      </c>
      <c r="W236" s="27">
        <v>233737.15</v>
      </c>
      <c r="X236" s="27">
        <v>251934.32</v>
      </c>
      <c r="Y236" s="27">
        <v>275069.74</v>
      </c>
      <c r="Z236" s="27">
        <v>306416.96000000002</v>
      </c>
      <c r="AA236" s="27">
        <v>333342.61</v>
      </c>
      <c r="AB236" s="27">
        <v>367621.44</v>
      </c>
      <c r="AC236" s="27">
        <v>359008.1</v>
      </c>
      <c r="AD236" s="27">
        <v>393071.73</v>
      </c>
      <c r="AE236" s="27">
        <v>459123.15</v>
      </c>
      <c r="AF236" s="27">
        <v>551865.31000000006</v>
      </c>
      <c r="AG236" s="27">
        <v>627674.89</v>
      </c>
      <c r="AH236" s="27">
        <v>710325.29</v>
      </c>
      <c r="AI236" s="27">
        <v>806998.66</v>
      </c>
      <c r="AJ236" s="27">
        <v>816086.63</v>
      </c>
      <c r="AK236" s="27">
        <v>865537.72</v>
      </c>
      <c r="AL236" s="27">
        <v>924120.47</v>
      </c>
      <c r="AM236" s="27">
        <v>976669.08</v>
      </c>
      <c r="AN236" s="27">
        <v>1020609.56</v>
      </c>
      <c r="AO236" s="27">
        <v>1093451.94</v>
      </c>
      <c r="AP236" s="27">
        <v>1179466.03</v>
      </c>
      <c r="AQ236" s="27">
        <v>1275051.48</v>
      </c>
      <c r="AR236" s="27">
        <v>1395024.37</v>
      </c>
      <c r="AS236" s="27">
        <v>1526354.51</v>
      </c>
      <c r="AT236" s="27">
        <v>1674502.09</v>
      </c>
      <c r="AU236" s="27">
        <v>1812928.43</v>
      </c>
      <c r="AV236" s="27">
        <v>1955582.1</v>
      </c>
      <c r="AW236" s="27">
        <v>2099224.35</v>
      </c>
    </row>
    <row r="237" spans="1:49" x14ac:dyDescent="0.35">
      <c r="A237" t="s">
        <v>8</v>
      </c>
      <c r="B237" t="s">
        <v>54</v>
      </c>
      <c r="C237" t="s">
        <v>57</v>
      </c>
      <c r="D237" t="s">
        <v>41</v>
      </c>
      <c r="E237" t="s">
        <v>26</v>
      </c>
      <c r="F237" t="s">
        <v>56</v>
      </c>
      <c r="G237">
        <v>462.08600000000001</v>
      </c>
      <c r="H237">
        <v>400.19900000000001</v>
      </c>
      <c r="I237">
        <v>382.45299999999997</v>
      </c>
      <c r="J237">
        <v>371.14499999999998</v>
      </c>
      <c r="K237">
        <v>302.58699999999999</v>
      </c>
      <c r="L237">
        <v>286.31599999999997</v>
      </c>
      <c r="M237">
        <v>317.44900000000001</v>
      </c>
      <c r="N237">
        <v>242.87700000000001</v>
      </c>
      <c r="O237">
        <v>224.53700000000001</v>
      </c>
      <c r="P237">
        <v>222.92</v>
      </c>
      <c r="Q237">
        <v>266.88400000000001</v>
      </c>
      <c r="R237">
        <v>225.006</v>
      </c>
      <c r="S237">
        <v>244.673</v>
      </c>
      <c r="T237">
        <v>266.59199999999998</v>
      </c>
      <c r="U237">
        <v>228.29499999999999</v>
      </c>
      <c r="V237">
        <v>234.88800000000001</v>
      </c>
      <c r="W237">
        <v>287.76499999999999</v>
      </c>
      <c r="X237">
        <v>247.43700000000001</v>
      </c>
      <c r="Y237">
        <v>252.756</v>
      </c>
      <c r="Z237">
        <v>243.816</v>
      </c>
      <c r="AA237">
        <v>246.28299999999999</v>
      </c>
      <c r="AB237">
        <v>278.98700000000002</v>
      </c>
      <c r="AC237">
        <v>262.74200000000002</v>
      </c>
      <c r="AD237">
        <v>317.42099999999999</v>
      </c>
      <c r="AE237">
        <v>245.67</v>
      </c>
      <c r="AF237">
        <v>275.51600000000002</v>
      </c>
      <c r="AG237">
        <v>292.99099999999999</v>
      </c>
      <c r="AH237">
        <v>379.06700000000001</v>
      </c>
      <c r="AI237">
        <v>472.37900000000002</v>
      </c>
      <c r="AJ237">
        <v>417.178</v>
      </c>
      <c r="AK237">
        <v>414.14299999999997</v>
      </c>
      <c r="AL237">
        <v>456.32900000000001</v>
      </c>
      <c r="AM237">
        <v>444.959</v>
      </c>
      <c r="AN237">
        <v>462.46</v>
      </c>
      <c r="AO237">
        <v>452.81</v>
      </c>
      <c r="AP237">
        <v>402.06700000000001</v>
      </c>
      <c r="AQ237">
        <v>401.39600000000002</v>
      </c>
      <c r="AR237">
        <v>412.16800000000001</v>
      </c>
      <c r="AS237">
        <v>423.947</v>
      </c>
      <c r="AT237">
        <v>443.86099999999999</v>
      </c>
      <c r="AU237">
        <v>463.91800000000001</v>
      </c>
      <c r="AV237">
        <v>484.69299999999998</v>
      </c>
      <c r="AW237">
        <v>503.25700000000001</v>
      </c>
    </row>
    <row r="238" spans="1:49" x14ac:dyDescent="0.35">
      <c r="A238" t="s">
        <v>8</v>
      </c>
      <c r="B238" t="s">
        <v>54</v>
      </c>
      <c r="C238" t="s">
        <v>58</v>
      </c>
      <c r="D238" t="s">
        <v>44</v>
      </c>
      <c r="E238" t="s">
        <v>26</v>
      </c>
      <c r="F238" t="s">
        <v>56</v>
      </c>
      <c r="G238">
        <v>894.85599999999999</v>
      </c>
      <c r="H238">
        <v>859.24699999999996</v>
      </c>
      <c r="I238">
        <v>872.19100000000003</v>
      </c>
      <c r="J238">
        <v>891.41800000000001</v>
      </c>
      <c r="K238">
        <v>914.93499999999995</v>
      </c>
      <c r="L238">
        <v>929.60299999999995</v>
      </c>
      <c r="M238">
        <v>940.25099999999998</v>
      </c>
      <c r="N238">
        <v>947.95299999999997</v>
      </c>
      <c r="O238">
        <v>985.25199999999995</v>
      </c>
      <c r="P238" s="27">
        <v>1034.1099999999999</v>
      </c>
      <c r="Q238" s="27">
        <v>1073.32</v>
      </c>
      <c r="R238" s="27">
        <v>1008.33</v>
      </c>
      <c r="S238" s="27">
        <v>1012.38</v>
      </c>
      <c r="T238" s="27">
        <v>1026.43</v>
      </c>
      <c r="U238" s="27">
        <v>1016.02</v>
      </c>
      <c r="V238" s="27">
        <v>1022.26</v>
      </c>
      <c r="W238" s="27">
        <v>1030.4000000000001</v>
      </c>
      <c r="X238" s="27">
        <v>1052.8800000000001</v>
      </c>
      <c r="Y238" s="27">
        <v>1071.52</v>
      </c>
      <c r="Z238" s="27">
        <v>1103.77</v>
      </c>
      <c r="AA238" s="27">
        <v>1143.0999999999999</v>
      </c>
      <c r="AB238" s="27">
        <v>1201.5999999999999</v>
      </c>
      <c r="AC238" s="27">
        <v>1036.72</v>
      </c>
      <c r="AD238" s="27">
        <v>1126.58</v>
      </c>
      <c r="AE238" s="27">
        <v>1182.8800000000001</v>
      </c>
      <c r="AF238" s="27">
        <v>1242.1500000000001</v>
      </c>
      <c r="AG238" s="27">
        <v>1311.03</v>
      </c>
      <c r="AH238" s="27">
        <v>1392.03</v>
      </c>
      <c r="AI238" s="27">
        <v>1479.19</v>
      </c>
      <c r="AJ238" s="27">
        <v>1380.56</v>
      </c>
      <c r="AK238" s="27">
        <v>1362.3</v>
      </c>
      <c r="AL238" s="27">
        <v>1371.65</v>
      </c>
      <c r="AM238" s="27">
        <v>1399.51</v>
      </c>
      <c r="AN238" s="27">
        <v>1414.17</v>
      </c>
      <c r="AO238" s="27">
        <v>1446.45</v>
      </c>
      <c r="AP238" s="27">
        <v>1466.42</v>
      </c>
      <c r="AQ238" s="27">
        <v>1504.94</v>
      </c>
      <c r="AR238" s="27">
        <v>1554.08</v>
      </c>
      <c r="AS238" s="27">
        <v>1623.33</v>
      </c>
      <c r="AT238" s="27">
        <v>1707.72</v>
      </c>
      <c r="AU238" s="27">
        <v>1790.12</v>
      </c>
      <c r="AV238" s="27">
        <v>1870.86</v>
      </c>
      <c r="AW238" s="27">
        <v>1949.45</v>
      </c>
    </row>
    <row r="239" spans="1:49" x14ac:dyDescent="0.35">
      <c r="A239" t="s">
        <v>8</v>
      </c>
      <c r="B239" t="s">
        <v>59</v>
      </c>
      <c r="C239" t="s">
        <v>60</v>
      </c>
      <c r="D239" t="s">
        <v>61</v>
      </c>
    </row>
    <row r="240" spans="1:49" x14ac:dyDescent="0.35">
      <c r="A240" t="s">
        <v>8</v>
      </c>
      <c r="B240" t="s">
        <v>62</v>
      </c>
      <c r="C240" t="s">
        <v>63</v>
      </c>
      <c r="D240" t="s">
        <v>64</v>
      </c>
      <c r="F240" t="s">
        <v>42</v>
      </c>
      <c r="G240">
        <v>0.06</v>
      </c>
      <c r="H240">
        <v>5.2999999999999999E-2</v>
      </c>
      <c r="I240">
        <v>5.1999999999999998E-2</v>
      </c>
      <c r="J240">
        <v>5.0999999999999997E-2</v>
      </c>
      <c r="K240">
        <v>4.9000000000000002E-2</v>
      </c>
      <c r="L240">
        <v>4.8000000000000001E-2</v>
      </c>
      <c r="M240">
        <v>4.8000000000000001E-2</v>
      </c>
      <c r="N240">
        <v>4.5999999999999999E-2</v>
      </c>
      <c r="O240">
        <v>4.5999999999999999E-2</v>
      </c>
      <c r="P240">
        <v>4.5999999999999999E-2</v>
      </c>
      <c r="Q240">
        <v>4.5999999999999999E-2</v>
      </c>
      <c r="R240">
        <v>4.2000000000000003E-2</v>
      </c>
      <c r="S240">
        <v>3.7999999999999999E-2</v>
      </c>
      <c r="T240">
        <v>3.7999999999999999E-2</v>
      </c>
      <c r="U240">
        <v>3.6999999999999998E-2</v>
      </c>
      <c r="V240">
        <v>3.5999999999999997E-2</v>
      </c>
      <c r="W240">
        <v>3.5000000000000003E-2</v>
      </c>
      <c r="X240">
        <v>3.5000000000000003E-2</v>
      </c>
      <c r="Y240">
        <v>3.5999999999999997E-2</v>
      </c>
      <c r="Z240">
        <v>3.5999999999999997E-2</v>
      </c>
      <c r="AA240">
        <v>3.5999999999999997E-2</v>
      </c>
      <c r="AB240">
        <v>3.6999999999999998E-2</v>
      </c>
      <c r="AC240">
        <v>3.2000000000000001E-2</v>
      </c>
      <c r="AD240">
        <v>3.4000000000000002E-2</v>
      </c>
      <c r="AE240">
        <v>3.4000000000000002E-2</v>
      </c>
      <c r="AF240">
        <v>3.4000000000000002E-2</v>
      </c>
      <c r="AG240">
        <v>3.4000000000000002E-2</v>
      </c>
      <c r="AH240">
        <v>3.4000000000000002E-2</v>
      </c>
      <c r="AI240">
        <v>3.5000000000000003E-2</v>
      </c>
      <c r="AJ240">
        <v>3.4000000000000002E-2</v>
      </c>
      <c r="AK240">
        <v>3.2000000000000001E-2</v>
      </c>
      <c r="AL240">
        <v>3.1E-2</v>
      </c>
      <c r="AM240">
        <v>3.1E-2</v>
      </c>
      <c r="AN240">
        <v>3.1E-2</v>
      </c>
      <c r="AO240">
        <v>3.1E-2</v>
      </c>
      <c r="AP240">
        <v>3.1E-2</v>
      </c>
      <c r="AQ240">
        <v>3.1E-2</v>
      </c>
      <c r="AR240">
        <v>3.1E-2</v>
      </c>
      <c r="AS240">
        <v>3.2000000000000001E-2</v>
      </c>
      <c r="AT240">
        <v>3.3000000000000002E-2</v>
      </c>
      <c r="AU240">
        <v>3.3000000000000002E-2</v>
      </c>
      <c r="AV240">
        <v>3.4000000000000002E-2</v>
      </c>
      <c r="AW240">
        <v>3.4000000000000002E-2</v>
      </c>
    </row>
    <row r="241" spans="1:49" x14ac:dyDescent="0.35">
      <c r="A241" t="s">
        <v>8</v>
      </c>
      <c r="B241" t="s">
        <v>65</v>
      </c>
      <c r="C241" t="s">
        <v>66</v>
      </c>
      <c r="D241" t="s">
        <v>67</v>
      </c>
      <c r="F241" t="s">
        <v>42</v>
      </c>
      <c r="G241">
        <v>21.821999999999999</v>
      </c>
      <c r="H241">
        <v>25.309000000000001</v>
      </c>
      <c r="I241">
        <v>30.667999999999999</v>
      </c>
      <c r="J241">
        <v>35.840000000000003</v>
      </c>
      <c r="K241">
        <v>38.140999999999998</v>
      </c>
      <c r="L241">
        <v>40.808</v>
      </c>
      <c r="M241">
        <v>45.668999999999997</v>
      </c>
      <c r="N241">
        <v>54.789000000000001</v>
      </c>
      <c r="O241">
        <v>64.135000000000005</v>
      </c>
      <c r="P241">
        <v>69.13</v>
      </c>
      <c r="Q241">
        <v>74.302000000000007</v>
      </c>
      <c r="R241">
        <v>81.912000000000006</v>
      </c>
      <c r="S241">
        <v>90.096999999999994</v>
      </c>
      <c r="T241">
        <v>99.412999999999997</v>
      </c>
      <c r="U241">
        <v>137.84299999999999</v>
      </c>
      <c r="V241">
        <v>196.02500000000001</v>
      </c>
      <c r="W241">
        <v>226.84200000000001</v>
      </c>
      <c r="X241">
        <v>239.28100000000001</v>
      </c>
      <c r="Y241">
        <v>256.70999999999998</v>
      </c>
      <c r="Z241">
        <v>277.608</v>
      </c>
      <c r="AA241">
        <v>291.61200000000002</v>
      </c>
      <c r="AB241">
        <v>305.94200000000001</v>
      </c>
      <c r="AC241">
        <v>346.291</v>
      </c>
      <c r="AD241">
        <v>348.90699999999998</v>
      </c>
      <c r="AE241">
        <v>388.14100000000002</v>
      </c>
      <c r="AF241">
        <v>444.28399999999999</v>
      </c>
      <c r="AG241">
        <v>478.76499999999999</v>
      </c>
      <c r="AH241">
        <v>510.279</v>
      </c>
      <c r="AI241">
        <v>545.56899999999996</v>
      </c>
      <c r="AJ241">
        <v>591.12599999999998</v>
      </c>
      <c r="AK241">
        <v>635.35</v>
      </c>
      <c r="AL241">
        <v>673.73</v>
      </c>
      <c r="AM241">
        <v>697.86300000000006</v>
      </c>
      <c r="AN241">
        <v>721.702</v>
      </c>
      <c r="AO241">
        <v>755.95500000000004</v>
      </c>
      <c r="AP241">
        <v>804.31799999999998</v>
      </c>
      <c r="AQ241">
        <v>847.24300000000005</v>
      </c>
      <c r="AR241">
        <v>897.654</v>
      </c>
      <c r="AS241">
        <v>940.26099999999997</v>
      </c>
      <c r="AT241">
        <v>980.55</v>
      </c>
      <c r="AU241" s="27">
        <v>1012.74</v>
      </c>
      <c r="AV241" s="27">
        <v>1045.29</v>
      </c>
      <c r="AW241" s="27">
        <v>1076.83</v>
      </c>
    </row>
    <row r="242" spans="1:49" x14ac:dyDescent="0.35">
      <c r="A242" t="s">
        <v>8</v>
      </c>
      <c r="B242" t="s">
        <v>68</v>
      </c>
      <c r="C242" t="s">
        <v>69</v>
      </c>
      <c r="D242" t="s">
        <v>70</v>
      </c>
      <c r="F242" t="s">
        <v>157</v>
      </c>
      <c r="G242">
        <v>14.962</v>
      </c>
      <c r="H242">
        <v>11.478</v>
      </c>
      <c r="I242">
        <v>8.4860000000000007</v>
      </c>
      <c r="J242">
        <v>8.3650000000000002</v>
      </c>
      <c r="K242">
        <v>8.6140000000000008</v>
      </c>
      <c r="L242">
        <v>8.5459999999999994</v>
      </c>
      <c r="M242">
        <v>9.0389999999999997</v>
      </c>
      <c r="N242">
        <v>10.105</v>
      </c>
      <c r="O242">
        <v>13.294</v>
      </c>
      <c r="P242">
        <v>13.39</v>
      </c>
      <c r="Q242">
        <v>14.818</v>
      </c>
      <c r="R242">
        <v>10.56</v>
      </c>
      <c r="S242">
        <v>11.295999999999999</v>
      </c>
      <c r="T242">
        <v>11.448</v>
      </c>
      <c r="U242">
        <v>10.903</v>
      </c>
      <c r="V242">
        <v>11.252000000000001</v>
      </c>
      <c r="W242">
        <v>12.24</v>
      </c>
      <c r="X242">
        <v>12.813000000000001</v>
      </c>
      <c r="Y242">
        <v>15.082000000000001</v>
      </c>
      <c r="Z242">
        <v>14.903</v>
      </c>
      <c r="AA242">
        <v>15.045</v>
      </c>
      <c r="AB242">
        <v>18.5</v>
      </c>
      <c r="AC242">
        <v>14.263</v>
      </c>
      <c r="AD242">
        <v>16.846</v>
      </c>
      <c r="AE242">
        <v>25.835999999999999</v>
      </c>
      <c r="AF242">
        <v>23.773</v>
      </c>
      <c r="AG242">
        <v>24.972999999999999</v>
      </c>
      <c r="AH242">
        <v>33.018000000000001</v>
      </c>
      <c r="AI242">
        <v>40.960999999999999</v>
      </c>
      <c r="AJ242">
        <v>35.646999999999998</v>
      </c>
      <c r="AK242">
        <v>23.423999999999999</v>
      </c>
      <c r="AL242">
        <v>17.638000000000002</v>
      </c>
      <c r="AM242">
        <v>17.561</v>
      </c>
      <c r="AN242">
        <v>15.861000000000001</v>
      </c>
      <c r="AO242">
        <v>15.58</v>
      </c>
      <c r="AP242">
        <v>13.057</v>
      </c>
      <c r="AQ242">
        <v>15.233000000000001</v>
      </c>
      <c r="AR242">
        <v>19.169</v>
      </c>
      <c r="AS242">
        <v>21.526</v>
      </c>
      <c r="AT242">
        <v>21.422000000000001</v>
      </c>
      <c r="AU242">
        <v>20.449000000000002</v>
      </c>
      <c r="AV242">
        <v>20.268000000000001</v>
      </c>
      <c r="AW242">
        <v>20.044</v>
      </c>
    </row>
    <row r="243" spans="1:49" x14ac:dyDescent="0.35">
      <c r="A243" t="s">
        <v>8</v>
      </c>
      <c r="B243" t="s">
        <v>71</v>
      </c>
      <c r="C243" t="s">
        <v>72</v>
      </c>
      <c r="D243" t="s">
        <v>70</v>
      </c>
      <c r="F243" t="s">
        <v>157</v>
      </c>
      <c r="G243">
        <v>1.181</v>
      </c>
      <c r="H243">
        <v>1.381</v>
      </c>
      <c r="I243">
        <v>-2.1000000000000001E-2</v>
      </c>
      <c r="J243">
        <v>1.3320000000000001</v>
      </c>
      <c r="K243">
        <v>2.036</v>
      </c>
      <c r="L243">
        <v>2.1179999999999999</v>
      </c>
      <c r="M243">
        <v>4.6589999999999998</v>
      </c>
      <c r="N243">
        <v>4.6139999999999999</v>
      </c>
      <c r="O243">
        <v>7.1509999999999998</v>
      </c>
      <c r="P243">
        <v>10.032</v>
      </c>
      <c r="Q243">
        <v>6.2119999999999997</v>
      </c>
      <c r="R243">
        <v>1.9750000000000001</v>
      </c>
      <c r="S243">
        <v>4.7069999999999999</v>
      </c>
      <c r="T243">
        <v>3.7879999999999998</v>
      </c>
      <c r="U243">
        <v>1.595</v>
      </c>
      <c r="V243">
        <v>1.5720000000000001</v>
      </c>
      <c r="W243">
        <v>5.7069999999999999</v>
      </c>
      <c r="X243">
        <v>7.1669999999999998</v>
      </c>
      <c r="Y243">
        <v>7.4850000000000003</v>
      </c>
      <c r="Z243">
        <v>12.103999999999999</v>
      </c>
      <c r="AA243">
        <v>12.157999999999999</v>
      </c>
      <c r="AB243">
        <v>20.917999999999999</v>
      </c>
      <c r="AC243">
        <v>10.827</v>
      </c>
      <c r="AD243">
        <v>13.878</v>
      </c>
      <c r="AE243">
        <v>21.007999999999999</v>
      </c>
      <c r="AF243">
        <v>18.893000000000001</v>
      </c>
      <c r="AG243">
        <v>21.202000000000002</v>
      </c>
      <c r="AH243">
        <v>20.361000000000001</v>
      </c>
      <c r="AI243">
        <v>20.388999999999999</v>
      </c>
      <c r="AJ243">
        <v>14.494999999999999</v>
      </c>
      <c r="AK243">
        <v>13.74</v>
      </c>
      <c r="AL243">
        <v>10.760999999999999</v>
      </c>
      <c r="AM243">
        <v>10.654</v>
      </c>
      <c r="AN243">
        <v>10.002000000000001</v>
      </c>
      <c r="AO243">
        <v>15.265000000000001</v>
      </c>
      <c r="AP243">
        <v>11.167999999999999</v>
      </c>
      <c r="AQ243">
        <v>15.984999999999999</v>
      </c>
      <c r="AR243">
        <v>14.532</v>
      </c>
      <c r="AS243">
        <v>16.236000000000001</v>
      </c>
      <c r="AT243">
        <v>16.396999999999998</v>
      </c>
      <c r="AU243">
        <v>16.218</v>
      </c>
      <c r="AV243">
        <v>16.148</v>
      </c>
      <c r="AW243">
        <v>16.077999999999999</v>
      </c>
    </row>
    <row r="244" spans="1:49" x14ac:dyDescent="0.35">
      <c r="A244" t="s">
        <v>8</v>
      </c>
      <c r="B244" t="s">
        <v>73</v>
      </c>
      <c r="C244" t="s">
        <v>74</v>
      </c>
      <c r="D244" t="s">
        <v>47</v>
      </c>
      <c r="F244" t="s">
        <v>158</v>
      </c>
      <c r="G244">
        <v>4.3739999999999997</v>
      </c>
      <c r="H244">
        <v>5.7069999999999999</v>
      </c>
      <c r="I244">
        <v>7.5279999999999996</v>
      </c>
      <c r="J244">
        <v>8.9930000000000003</v>
      </c>
      <c r="K244">
        <v>9.8670000000000009</v>
      </c>
      <c r="L244">
        <v>10.91</v>
      </c>
      <c r="M244">
        <v>12.491</v>
      </c>
      <c r="N244">
        <v>14.422000000000001</v>
      </c>
      <c r="O244">
        <v>18.22</v>
      </c>
      <c r="P244">
        <v>19.863</v>
      </c>
      <c r="Q244">
        <v>22.219000000000001</v>
      </c>
      <c r="R244">
        <v>24.116</v>
      </c>
      <c r="S244">
        <v>27.63</v>
      </c>
      <c r="T244">
        <v>30.39</v>
      </c>
      <c r="U244">
        <v>42.238999999999997</v>
      </c>
      <c r="V244">
        <v>62.951999999999998</v>
      </c>
      <c r="W244">
        <v>75.391999999999996</v>
      </c>
      <c r="X244">
        <v>78.778000000000006</v>
      </c>
      <c r="Y244">
        <v>83.67</v>
      </c>
      <c r="Z244">
        <v>90.415000000000006</v>
      </c>
      <c r="AA244">
        <v>100.062</v>
      </c>
      <c r="AB244">
        <v>107.98399999999999</v>
      </c>
      <c r="AC244">
        <v>125.8</v>
      </c>
      <c r="AD244">
        <v>123.657</v>
      </c>
      <c r="AE244">
        <v>140.91399999999999</v>
      </c>
      <c r="AF244">
        <v>166.791</v>
      </c>
      <c r="AG244">
        <v>184.74700000000001</v>
      </c>
      <c r="AH244">
        <v>203.75399999999999</v>
      </c>
      <c r="AI244">
        <v>222.696</v>
      </c>
      <c r="AJ244">
        <v>242.636</v>
      </c>
      <c r="AK244">
        <v>265.07400000000001</v>
      </c>
      <c r="AL244">
        <v>290.20999999999998</v>
      </c>
      <c r="AM244">
        <v>306.79199999999997</v>
      </c>
      <c r="AN244">
        <v>324.66699999999997</v>
      </c>
      <c r="AO244">
        <v>344.40800000000002</v>
      </c>
      <c r="AP244">
        <v>369.90800000000002</v>
      </c>
      <c r="AQ244">
        <v>394.54500000000002</v>
      </c>
      <c r="AR244">
        <v>425.30200000000002</v>
      </c>
      <c r="AS244">
        <v>454.13499999999999</v>
      </c>
      <c r="AT244">
        <v>483.70100000000002</v>
      </c>
      <c r="AU244">
        <v>510.09100000000001</v>
      </c>
      <c r="AV244">
        <v>537.41600000000005</v>
      </c>
      <c r="AW244">
        <v>564.28700000000003</v>
      </c>
    </row>
    <row r="245" spans="1:49" x14ac:dyDescent="0.35">
      <c r="A245" t="s">
        <v>8</v>
      </c>
      <c r="B245" t="s">
        <v>73</v>
      </c>
      <c r="C245" t="s">
        <v>76</v>
      </c>
      <c r="D245" t="s">
        <v>35</v>
      </c>
      <c r="F245" t="s">
        <v>77</v>
      </c>
      <c r="G245">
        <v>18.277999999999999</v>
      </c>
      <c r="H245">
        <v>30.457000000000001</v>
      </c>
      <c r="I245">
        <v>31.907</v>
      </c>
      <c r="J245">
        <v>19.469000000000001</v>
      </c>
      <c r="K245">
        <v>9.7200000000000006</v>
      </c>
      <c r="L245">
        <v>10.566000000000001</v>
      </c>
      <c r="M245">
        <v>14.492000000000001</v>
      </c>
      <c r="N245">
        <v>15.461</v>
      </c>
      <c r="O245">
        <v>26.338000000000001</v>
      </c>
      <c r="P245">
        <v>9.0169999999999995</v>
      </c>
      <c r="Q245">
        <v>11.859</v>
      </c>
      <c r="R245">
        <v>8.5399999999999991</v>
      </c>
      <c r="S245">
        <v>14.567</v>
      </c>
      <c r="T245">
        <v>9.99</v>
      </c>
      <c r="U245">
        <v>38.991999999999997</v>
      </c>
      <c r="V245">
        <v>49.036000000000001</v>
      </c>
      <c r="W245">
        <v>19.760999999999999</v>
      </c>
      <c r="X245">
        <v>4.492</v>
      </c>
      <c r="Y245">
        <v>6.21</v>
      </c>
      <c r="Z245">
        <v>8.0619999999999994</v>
      </c>
      <c r="AA245">
        <v>10.67</v>
      </c>
      <c r="AB245">
        <v>7.9169999999999998</v>
      </c>
      <c r="AC245">
        <v>16.498999999999999</v>
      </c>
      <c r="AD245">
        <v>-1.704</v>
      </c>
      <c r="AE245">
        <v>13.956</v>
      </c>
      <c r="AF245">
        <v>18.364000000000001</v>
      </c>
      <c r="AG245">
        <v>10.766</v>
      </c>
      <c r="AH245">
        <v>10.288</v>
      </c>
      <c r="AI245">
        <v>9.2970000000000006</v>
      </c>
      <c r="AJ245">
        <v>8.9540000000000006</v>
      </c>
      <c r="AK245">
        <v>9.2469999999999999</v>
      </c>
      <c r="AL245">
        <v>9.4830000000000005</v>
      </c>
      <c r="AM245">
        <v>5.7140000000000004</v>
      </c>
      <c r="AN245">
        <v>5.8259999999999996</v>
      </c>
      <c r="AO245">
        <v>6.08</v>
      </c>
      <c r="AP245">
        <v>7.4039999999999999</v>
      </c>
      <c r="AQ245">
        <v>6.66</v>
      </c>
      <c r="AR245">
        <v>7.7960000000000003</v>
      </c>
      <c r="AS245">
        <v>6.78</v>
      </c>
      <c r="AT245">
        <v>6.51</v>
      </c>
      <c r="AU245">
        <v>5.4560000000000004</v>
      </c>
      <c r="AV245">
        <v>5.3570000000000002</v>
      </c>
      <c r="AW245">
        <v>5</v>
      </c>
    </row>
    <row r="246" spans="1:49" x14ac:dyDescent="0.35">
      <c r="A246" t="s">
        <v>8</v>
      </c>
      <c r="B246" t="s">
        <v>78</v>
      </c>
      <c r="C246" t="s">
        <v>79</v>
      </c>
      <c r="D246" t="s">
        <v>47</v>
      </c>
      <c r="F246" t="s">
        <v>158</v>
      </c>
      <c r="G246">
        <v>4.3380000000000001</v>
      </c>
      <c r="H246">
        <v>5.6589999999999998</v>
      </c>
      <c r="I246">
        <v>7.4649999999999999</v>
      </c>
      <c r="J246">
        <v>8.9190000000000005</v>
      </c>
      <c r="K246">
        <v>9.7889999999999997</v>
      </c>
      <c r="L246">
        <v>10.929</v>
      </c>
      <c r="M246">
        <v>12.099</v>
      </c>
      <c r="N246">
        <v>15.632</v>
      </c>
      <c r="O246">
        <v>18.34</v>
      </c>
      <c r="P246">
        <v>20.283000000000001</v>
      </c>
      <c r="Q246">
        <v>23.091000000000001</v>
      </c>
      <c r="R246">
        <v>25.797999999999998</v>
      </c>
      <c r="S246">
        <v>29.945</v>
      </c>
      <c r="T246">
        <v>32.417000000000002</v>
      </c>
      <c r="U246">
        <v>52.262</v>
      </c>
      <c r="V246">
        <v>71.762</v>
      </c>
      <c r="W246">
        <v>77.704999999999998</v>
      </c>
      <c r="X246">
        <v>81.468000000000004</v>
      </c>
      <c r="Y246">
        <v>86.683999999999997</v>
      </c>
      <c r="Z246">
        <v>95.442999999999998</v>
      </c>
      <c r="AA246">
        <v>104.858</v>
      </c>
      <c r="AB246">
        <v>110.81699999999999</v>
      </c>
      <c r="AC246">
        <v>125.8</v>
      </c>
      <c r="AD246">
        <v>124.806</v>
      </c>
      <c r="AE246">
        <v>158.91200000000001</v>
      </c>
      <c r="AF246">
        <v>177.09200000000001</v>
      </c>
      <c r="AG246">
        <v>196.27</v>
      </c>
      <c r="AH246">
        <v>212.393</v>
      </c>
      <c r="AI246">
        <v>233.93199999999999</v>
      </c>
      <c r="AJ246">
        <v>252.63200000000001</v>
      </c>
      <c r="AK246">
        <v>278.38799999999998</v>
      </c>
      <c r="AL246">
        <v>297.60399999999998</v>
      </c>
      <c r="AM246">
        <v>314.8</v>
      </c>
      <c r="AN246">
        <v>334.5</v>
      </c>
      <c r="AO246">
        <v>354.65800000000002</v>
      </c>
      <c r="AP246">
        <v>381.48</v>
      </c>
      <c r="AQ246">
        <v>408</v>
      </c>
      <c r="AR246">
        <v>439.29300000000001</v>
      </c>
      <c r="AS246">
        <v>469</v>
      </c>
      <c r="AT246">
        <v>497.274</v>
      </c>
      <c r="AU246">
        <v>523.97900000000004</v>
      </c>
      <c r="AV246">
        <v>552.04600000000005</v>
      </c>
      <c r="AW246">
        <v>579.64800000000002</v>
      </c>
    </row>
    <row r="247" spans="1:49" x14ac:dyDescent="0.35">
      <c r="A247" t="s">
        <v>8</v>
      </c>
      <c r="B247" t="s">
        <v>78</v>
      </c>
      <c r="C247" t="s">
        <v>80</v>
      </c>
      <c r="D247" t="s">
        <v>35</v>
      </c>
      <c r="F247" t="s">
        <v>81</v>
      </c>
      <c r="G247" t="s">
        <v>82</v>
      </c>
      <c r="H247">
        <v>30.457000000000001</v>
      </c>
      <c r="I247">
        <v>31.907</v>
      </c>
      <c r="J247">
        <v>19.469000000000001</v>
      </c>
      <c r="K247">
        <v>9.7590000000000003</v>
      </c>
      <c r="L247">
        <v>11.641</v>
      </c>
      <c r="M247">
        <v>10.712999999999999</v>
      </c>
      <c r="N247">
        <v>29.196000000000002</v>
      </c>
      <c r="O247">
        <v>17.321000000000002</v>
      </c>
      <c r="P247">
        <v>10.598000000000001</v>
      </c>
      <c r="Q247">
        <v>13.843</v>
      </c>
      <c r="R247">
        <v>11.725</v>
      </c>
      <c r="S247">
        <v>16.074000000000002</v>
      </c>
      <c r="T247">
        <v>8.2560000000000002</v>
      </c>
      <c r="U247">
        <v>61.216000000000001</v>
      </c>
      <c r="V247">
        <v>37.311</v>
      </c>
      <c r="W247">
        <v>8.282</v>
      </c>
      <c r="X247">
        <v>4.843</v>
      </c>
      <c r="Y247">
        <v>6.4029999999999996</v>
      </c>
      <c r="Z247">
        <v>10.105</v>
      </c>
      <c r="AA247">
        <v>9.8640000000000008</v>
      </c>
      <c r="AB247">
        <v>5.6829999999999998</v>
      </c>
      <c r="AC247">
        <v>13.521000000000001</v>
      </c>
      <c r="AD247">
        <v>-0.79</v>
      </c>
      <c r="AE247">
        <v>27.327000000000002</v>
      </c>
      <c r="AF247">
        <v>11.44</v>
      </c>
      <c r="AG247">
        <v>10.829000000000001</v>
      </c>
      <c r="AH247">
        <v>8.2140000000000004</v>
      </c>
      <c r="AI247">
        <v>10.141</v>
      </c>
      <c r="AJ247">
        <v>7.9939999999999998</v>
      </c>
      <c r="AK247">
        <v>10.195</v>
      </c>
      <c r="AL247">
        <v>6.9029999999999996</v>
      </c>
      <c r="AM247">
        <v>5.7779999999999996</v>
      </c>
      <c r="AN247">
        <v>6.258</v>
      </c>
      <c r="AO247">
        <v>6.0259999999999998</v>
      </c>
      <c r="AP247">
        <v>7.5629999999999997</v>
      </c>
      <c r="AQ247">
        <v>6.952</v>
      </c>
      <c r="AR247">
        <v>7.67</v>
      </c>
      <c r="AS247">
        <v>6.7619999999999996</v>
      </c>
      <c r="AT247">
        <v>6.0289999999999999</v>
      </c>
      <c r="AU247">
        <v>5.37</v>
      </c>
      <c r="AV247">
        <v>5.3559999999999999</v>
      </c>
      <c r="AW247">
        <v>5</v>
      </c>
    </row>
    <row r="248" spans="1:49" x14ac:dyDescent="0.35">
      <c r="A248" t="s">
        <v>8</v>
      </c>
      <c r="B248" t="s">
        <v>83</v>
      </c>
      <c r="D248" t="s">
        <v>64</v>
      </c>
    </row>
    <row r="249" spans="1:49" x14ac:dyDescent="0.35">
      <c r="A249" t="s">
        <v>8</v>
      </c>
      <c r="B249" t="s">
        <v>84</v>
      </c>
      <c r="C249" t="s">
        <v>85</v>
      </c>
      <c r="D249" t="s">
        <v>35</v>
      </c>
      <c r="F249" t="s">
        <v>159</v>
      </c>
      <c r="G249">
        <v>-0.63200000000000001</v>
      </c>
      <c r="H249">
        <v>-30.591000000000001</v>
      </c>
      <c r="I249">
        <v>-3.8029999999999999</v>
      </c>
      <c r="J249">
        <v>-14.336</v>
      </c>
      <c r="K249">
        <v>-5.6550000000000002</v>
      </c>
      <c r="L249">
        <v>2.1890000000000001</v>
      </c>
      <c r="M249">
        <v>11.932</v>
      </c>
      <c r="N249">
        <v>-10.241</v>
      </c>
      <c r="O249">
        <v>0.14399999999999999</v>
      </c>
      <c r="P249">
        <v>-7.67</v>
      </c>
      <c r="Q249">
        <v>38.345999999999997</v>
      </c>
      <c r="R249">
        <v>-12.545</v>
      </c>
      <c r="S249">
        <v>7.73</v>
      </c>
      <c r="T249">
        <v>15.907</v>
      </c>
      <c r="U249">
        <v>3.49</v>
      </c>
      <c r="V249">
        <v>4.6989999999999998</v>
      </c>
      <c r="W249">
        <v>-3.4910000000000001</v>
      </c>
      <c r="X249">
        <v>1.181</v>
      </c>
      <c r="Y249">
        <v>16.972999999999999</v>
      </c>
      <c r="Z249">
        <v>1.3120000000000001</v>
      </c>
      <c r="AA249">
        <v>3.2690000000000001</v>
      </c>
      <c r="AB249">
        <v>9.625</v>
      </c>
      <c r="AC249">
        <v>30.87</v>
      </c>
      <c r="AD249">
        <v>-20.931000000000001</v>
      </c>
      <c r="AE249">
        <v>2.1190000000000002</v>
      </c>
      <c r="AF249">
        <v>21.655000000000001</v>
      </c>
      <c r="AG249">
        <v>2.5999999999999999E-2</v>
      </c>
      <c r="AH249">
        <v>35.598999999999997</v>
      </c>
      <c r="AI249">
        <v>19.667999999999999</v>
      </c>
      <c r="AJ249">
        <v>-3.5390000000000001</v>
      </c>
      <c r="AK249">
        <v>-25.042999999999999</v>
      </c>
      <c r="AL249">
        <v>6.5720000000000001</v>
      </c>
      <c r="AM249">
        <v>16.183</v>
      </c>
      <c r="AN249">
        <v>15.173999999999999</v>
      </c>
      <c r="AO249">
        <v>3.573</v>
      </c>
      <c r="AP249">
        <v>-7.0919999999999996</v>
      </c>
      <c r="AQ249">
        <v>27.468</v>
      </c>
      <c r="AR249">
        <v>4.9260000000000002</v>
      </c>
      <c r="AS249">
        <v>4.1849999999999996</v>
      </c>
      <c r="AT249">
        <v>6.9509999999999996</v>
      </c>
      <c r="AU249">
        <v>7.1609999999999996</v>
      </c>
      <c r="AV249">
        <v>7.77</v>
      </c>
      <c r="AW249">
        <v>6.5789999999999997</v>
      </c>
    </row>
    <row r="250" spans="1:49" x14ac:dyDescent="0.35">
      <c r="A250" t="s">
        <v>8</v>
      </c>
      <c r="B250" t="s">
        <v>87</v>
      </c>
      <c r="C250" t="s">
        <v>88</v>
      </c>
      <c r="D250" t="s">
        <v>35</v>
      </c>
      <c r="F250" t="s">
        <v>159</v>
      </c>
      <c r="G250">
        <v>-0.63200000000000001</v>
      </c>
      <c r="H250">
        <v>-32.148000000000003</v>
      </c>
      <c r="I250">
        <v>-4.0999999999999996</v>
      </c>
      <c r="J250">
        <v>-15.058999999999999</v>
      </c>
      <c r="K250">
        <v>-4.0659999999999998</v>
      </c>
      <c r="L250">
        <v>-2.3650000000000002</v>
      </c>
      <c r="M250">
        <v>-3.6160000000000001</v>
      </c>
      <c r="N250">
        <v>-17.638999999999999</v>
      </c>
      <c r="O250">
        <v>-0.52300000000000002</v>
      </c>
      <c r="P250">
        <v>1.321</v>
      </c>
      <c r="Q250">
        <v>52.188000000000002</v>
      </c>
      <c r="R250">
        <v>-21.663</v>
      </c>
      <c r="S250">
        <v>0.60099999999999998</v>
      </c>
      <c r="T250">
        <v>9.1170000000000009</v>
      </c>
      <c r="U250">
        <v>-1.633</v>
      </c>
      <c r="V250">
        <v>0.621</v>
      </c>
      <c r="W250">
        <v>9.5410000000000004</v>
      </c>
      <c r="X250">
        <v>0.185</v>
      </c>
      <c r="Y250">
        <v>7.2169999999999996</v>
      </c>
      <c r="Z250">
        <v>-1.96</v>
      </c>
      <c r="AA250">
        <v>3.7290000000000001</v>
      </c>
      <c r="AB250">
        <v>14.691000000000001</v>
      </c>
      <c r="AC250">
        <v>13.018000000000001</v>
      </c>
      <c r="AD250">
        <v>-22.481000000000002</v>
      </c>
      <c r="AE250">
        <v>10.862</v>
      </c>
      <c r="AF250">
        <v>44.896000000000001</v>
      </c>
      <c r="AG250">
        <v>1.117</v>
      </c>
      <c r="AH250">
        <v>119.26</v>
      </c>
      <c r="AI250">
        <v>13.629</v>
      </c>
      <c r="AJ250">
        <v>-29.765999999999998</v>
      </c>
      <c r="AK250">
        <v>-15.877000000000001</v>
      </c>
      <c r="AL250">
        <v>6.6829999999999998</v>
      </c>
      <c r="AM250">
        <v>21.167999999999999</v>
      </c>
      <c r="AN250">
        <v>13.513</v>
      </c>
      <c r="AO250">
        <v>6.06</v>
      </c>
      <c r="AP250">
        <v>-7.7789999999999999</v>
      </c>
      <c r="AQ250">
        <v>26.742000000000001</v>
      </c>
      <c r="AR250">
        <v>11.08</v>
      </c>
      <c r="AS250">
        <v>4.0410000000000004</v>
      </c>
      <c r="AT250">
        <v>7.617</v>
      </c>
      <c r="AU250">
        <v>8.6020000000000003</v>
      </c>
      <c r="AV250">
        <v>8.8659999999999997</v>
      </c>
      <c r="AW250">
        <v>7.609</v>
      </c>
    </row>
    <row r="251" spans="1:49" x14ac:dyDescent="0.35">
      <c r="A251" t="s">
        <v>8</v>
      </c>
      <c r="B251" t="s">
        <v>89</v>
      </c>
      <c r="C251" t="s">
        <v>90</v>
      </c>
      <c r="D251" t="s">
        <v>35</v>
      </c>
      <c r="F251" t="s">
        <v>159</v>
      </c>
      <c r="G251" t="s">
        <v>39</v>
      </c>
      <c r="H251">
        <v>-17.056000000000001</v>
      </c>
      <c r="I251">
        <v>3.51</v>
      </c>
      <c r="J251">
        <v>-9.4079999999999995</v>
      </c>
      <c r="K251">
        <v>12.135</v>
      </c>
      <c r="L251">
        <v>-4.5679999999999996</v>
      </c>
      <c r="M251">
        <v>11.308</v>
      </c>
      <c r="N251">
        <v>-3.7</v>
      </c>
      <c r="O251">
        <v>-18.193999999999999</v>
      </c>
      <c r="P251">
        <v>17.013999999999999</v>
      </c>
      <c r="Q251">
        <v>4.6909999999999998</v>
      </c>
      <c r="R251">
        <v>9.3819999999999997</v>
      </c>
      <c r="S251">
        <v>4.9340000000000002</v>
      </c>
      <c r="T251">
        <v>9.0129999999999999</v>
      </c>
      <c r="U251">
        <v>14.72</v>
      </c>
      <c r="V251">
        <v>3.9729999999999999</v>
      </c>
      <c r="W251">
        <v>7.65</v>
      </c>
      <c r="X251">
        <v>-15.15</v>
      </c>
      <c r="Y251">
        <v>16.829999999999998</v>
      </c>
      <c r="Z251">
        <v>13.351000000000001</v>
      </c>
      <c r="AA251">
        <v>8.2479999999999993</v>
      </c>
      <c r="AB251">
        <v>29.672999999999998</v>
      </c>
      <c r="AC251">
        <v>6.0460000000000003</v>
      </c>
      <c r="AD251">
        <v>-31.074999999999999</v>
      </c>
      <c r="AE251">
        <v>-2.1309999999999998</v>
      </c>
      <c r="AF251">
        <v>32.630000000000003</v>
      </c>
      <c r="AG251">
        <v>1.167</v>
      </c>
      <c r="AH251">
        <v>21.321999999999999</v>
      </c>
      <c r="AI251">
        <v>6.18</v>
      </c>
      <c r="AJ251">
        <v>-11.872999999999999</v>
      </c>
      <c r="AK251">
        <v>-9.6839999999999993</v>
      </c>
      <c r="AL251">
        <v>7.55</v>
      </c>
      <c r="AM251">
        <v>8.7880000000000003</v>
      </c>
      <c r="AN251">
        <v>-3.5190000000000001</v>
      </c>
      <c r="AO251">
        <v>4.1630000000000003</v>
      </c>
      <c r="AP251">
        <v>2.5609999999999999</v>
      </c>
      <c r="AQ251">
        <v>7.9349999999999996</v>
      </c>
      <c r="AR251">
        <v>-4.12</v>
      </c>
      <c r="AS251">
        <v>5.508</v>
      </c>
      <c r="AT251">
        <v>6.2889999999999997</v>
      </c>
      <c r="AU251">
        <v>10.896000000000001</v>
      </c>
      <c r="AV251">
        <v>10.587</v>
      </c>
      <c r="AW251">
        <v>9.5869999999999997</v>
      </c>
    </row>
    <row r="252" spans="1:49" x14ac:dyDescent="0.35">
      <c r="A252" t="s">
        <v>8</v>
      </c>
      <c r="B252" t="s">
        <v>91</v>
      </c>
      <c r="C252" t="s">
        <v>92</v>
      </c>
      <c r="D252" t="s">
        <v>35</v>
      </c>
      <c r="F252" t="s">
        <v>159</v>
      </c>
      <c r="G252" t="s">
        <v>39</v>
      </c>
      <c r="H252">
        <v>-17.286999999999999</v>
      </c>
      <c r="I252">
        <v>6.6269999999999998</v>
      </c>
      <c r="J252">
        <v>-9.0229999999999997</v>
      </c>
      <c r="K252">
        <v>10.948</v>
      </c>
      <c r="L252">
        <v>-7.9880000000000004</v>
      </c>
      <c r="M252">
        <v>8.4819999999999993</v>
      </c>
      <c r="N252">
        <v>-8.2710000000000008</v>
      </c>
      <c r="O252">
        <v>-25.257999999999999</v>
      </c>
      <c r="P252">
        <v>17.423999999999999</v>
      </c>
      <c r="Q252">
        <v>-0.26800000000000002</v>
      </c>
      <c r="R252">
        <v>12.321999999999999</v>
      </c>
      <c r="S252">
        <v>-1.379</v>
      </c>
      <c r="T252">
        <v>7.2859999999999996</v>
      </c>
      <c r="U252">
        <v>22.709</v>
      </c>
      <c r="V252">
        <v>2.1970000000000001</v>
      </c>
      <c r="W252">
        <v>-0.28699999999999998</v>
      </c>
      <c r="X252">
        <v>-30.82</v>
      </c>
      <c r="Y252">
        <v>15.031000000000001</v>
      </c>
      <c r="Z252">
        <v>21.949000000000002</v>
      </c>
      <c r="AA252">
        <v>1.5409999999999999</v>
      </c>
      <c r="AB252">
        <v>34.685000000000002</v>
      </c>
      <c r="AC252">
        <v>-6.8760000000000003</v>
      </c>
      <c r="AD252">
        <v>-17.254000000000001</v>
      </c>
      <c r="AE252">
        <v>-13.37</v>
      </c>
      <c r="AF252">
        <v>68.923000000000002</v>
      </c>
      <c r="AG252">
        <v>-3.2130000000000001</v>
      </c>
      <c r="AH252">
        <v>12.478</v>
      </c>
      <c r="AI252">
        <v>0.45300000000000001</v>
      </c>
      <c r="AJ252">
        <v>-7.5380000000000003</v>
      </c>
      <c r="AK252">
        <v>-16.260999999999999</v>
      </c>
      <c r="AL252">
        <v>17.39</v>
      </c>
      <c r="AM252">
        <v>2.984</v>
      </c>
      <c r="AN252">
        <v>10.561999999999999</v>
      </c>
      <c r="AO252">
        <v>8.2629999999999999</v>
      </c>
      <c r="AP252">
        <v>7.09</v>
      </c>
      <c r="AQ252">
        <v>6.399</v>
      </c>
      <c r="AR252">
        <v>-0.45200000000000001</v>
      </c>
      <c r="AS252">
        <v>4.5060000000000002</v>
      </c>
      <c r="AT252">
        <v>7.6180000000000003</v>
      </c>
      <c r="AU252">
        <v>13.608000000000001</v>
      </c>
      <c r="AV252">
        <v>11.775</v>
      </c>
      <c r="AW252">
        <v>10.266</v>
      </c>
    </row>
    <row r="253" spans="1:49" x14ac:dyDescent="0.35">
      <c r="A253" t="s">
        <v>8</v>
      </c>
      <c r="B253" t="s">
        <v>93</v>
      </c>
      <c r="C253" t="s">
        <v>94</v>
      </c>
      <c r="D253" t="s">
        <v>95</v>
      </c>
    </row>
    <row r="254" spans="1:49" x14ac:dyDescent="0.35">
      <c r="A254" t="s">
        <v>8</v>
      </c>
      <c r="B254" t="s">
        <v>96</v>
      </c>
      <c r="C254" t="s">
        <v>97</v>
      </c>
      <c r="D254" t="s">
        <v>98</v>
      </c>
      <c r="E254" t="s">
        <v>99</v>
      </c>
    </row>
    <row r="255" spans="1:49" x14ac:dyDescent="0.35">
      <c r="A255" t="s">
        <v>8</v>
      </c>
      <c r="B255" t="s">
        <v>100</v>
      </c>
      <c r="C255" t="s">
        <v>101</v>
      </c>
      <c r="D255" t="s">
        <v>98</v>
      </c>
      <c r="E255" t="s">
        <v>99</v>
      </c>
      <c r="F255" t="s">
        <v>160</v>
      </c>
      <c r="G255">
        <v>8.7469999999999999</v>
      </c>
      <c r="H255">
        <v>8.9830000000000005</v>
      </c>
      <c r="I255">
        <v>9.2210000000000001</v>
      </c>
      <c r="J255">
        <v>9.4619999999999997</v>
      </c>
      <c r="K255">
        <v>9.7140000000000004</v>
      </c>
      <c r="L255">
        <v>9.9809999999999999</v>
      </c>
      <c r="M255">
        <v>10.263999999999999</v>
      </c>
      <c r="N255">
        <v>10.563000000000001</v>
      </c>
      <c r="O255">
        <v>10.878</v>
      </c>
      <c r="P255">
        <v>11.206</v>
      </c>
      <c r="Q255">
        <v>11.545999999999999</v>
      </c>
      <c r="R255">
        <v>11.898</v>
      </c>
      <c r="S255">
        <v>12.263999999999999</v>
      </c>
      <c r="T255">
        <v>12.644</v>
      </c>
      <c r="U255">
        <v>13.04</v>
      </c>
      <c r="V255">
        <v>13.452999999999999</v>
      </c>
      <c r="W255">
        <v>13.882999999999999</v>
      </c>
      <c r="X255">
        <v>14.329000000000001</v>
      </c>
      <c r="Y255">
        <v>14.79</v>
      </c>
      <c r="Z255">
        <v>15.263</v>
      </c>
      <c r="AA255">
        <v>15.744999999999999</v>
      </c>
      <c r="AB255">
        <v>16.236000000000001</v>
      </c>
      <c r="AC255">
        <v>16.736000000000001</v>
      </c>
      <c r="AD255">
        <v>17.245000000000001</v>
      </c>
      <c r="AE255">
        <v>17.763000000000002</v>
      </c>
      <c r="AF255">
        <v>18.29</v>
      </c>
      <c r="AG255">
        <v>18.826000000000001</v>
      </c>
      <c r="AH255">
        <v>19.370999999999999</v>
      </c>
      <c r="AI255">
        <v>19.927</v>
      </c>
      <c r="AJ255">
        <v>20.495999999999999</v>
      </c>
      <c r="AK255">
        <v>21.08</v>
      </c>
      <c r="AL255">
        <v>21.678999999999998</v>
      </c>
      <c r="AM255">
        <v>22.294</v>
      </c>
      <c r="AN255">
        <v>22.925000000000001</v>
      </c>
      <c r="AO255">
        <v>23.571999999999999</v>
      </c>
      <c r="AP255">
        <v>24.234999999999999</v>
      </c>
      <c r="AQ255">
        <v>24.916</v>
      </c>
      <c r="AR255">
        <v>25.613</v>
      </c>
      <c r="AS255">
        <v>26.326000000000001</v>
      </c>
      <c r="AT255">
        <v>27.055</v>
      </c>
      <c r="AU255">
        <v>27.798999999999999</v>
      </c>
      <c r="AV255">
        <v>28.556999999999999</v>
      </c>
      <c r="AW255">
        <v>29.33</v>
      </c>
    </row>
    <row r="256" spans="1:49" x14ac:dyDescent="0.35">
      <c r="A256" t="s">
        <v>8</v>
      </c>
      <c r="B256" t="s">
        <v>103</v>
      </c>
      <c r="C256" t="s">
        <v>104</v>
      </c>
      <c r="D256" t="s">
        <v>31</v>
      </c>
      <c r="E256" t="s">
        <v>32</v>
      </c>
      <c r="F256" t="s">
        <v>161</v>
      </c>
      <c r="G256">
        <v>25.78</v>
      </c>
      <c r="H256">
        <v>21.22</v>
      </c>
      <c r="I256">
        <v>24.48</v>
      </c>
      <c r="J256">
        <v>29.84</v>
      </c>
      <c r="K256">
        <v>35.36</v>
      </c>
      <c r="L256">
        <v>47.66</v>
      </c>
      <c r="M256">
        <v>51.92</v>
      </c>
      <c r="N256">
        <v>56.8</v>
      </c>
      <c r="O256">
        <v>97.46</v>
      </c>
      <c r="P256">
        <v>123.52</v>
      </c>
      <c r="Q256">
        <v>150.97999999999999</v>
      </c>
      <c r="R256">
        <v>108.54</v>
      </c>
      <c r="S256">
        <v>154.88</v>
      </c>
      <c r="T256">
        <v>167</v>
      </c>
      <c r="U256">
        <v>204.48</v>
      </c>
      <c r="V256">
        <v>308.17</v>
      </c>
      <c r="W256">
        <v>417.62</v>
      </c>
      <c r="X256">
        <v>540.64599999999996</v>
      </c>
      <c r="Y256">
        <v>556.91999999999996</v>
      </c>
      <c r="Z256">
        <v>701.98</v>
      </c>
      <c r="AA256">
        <v>814.178</v>
      </c>
      <c r="AB256">
        <v>838.12099999999998</v>
      </c>
      <c r="AC256">
        <v>610.63</v>
      </c>
      <c r="AD256" s="27">
        <v>1044.96</v>
      </c>
      <c r="AE256" s="27">
        <v>1653.45</v>
      </c>
      <c r="AF256" s="27">
        <v>1863.54</v>
      </c>
      <c r="AG256" s="27">
        <v>2477.04</v>
      </c>
      <c r="AH256" s="27">
        <v>2201.06</v>
      </c>
      <c r="AI256" s="27">
        <v>2562.94</v>
      </c>
      <c r="AJ256" s="27">
        <v>1927.74</v>
      </c>
      <c r="AK256" s="27">
        <v>2403.4899999999998</v>
      </c>
      <c r="AL256" s="27">
        <v>2338.89</v>
      </c>
      <c r="AM256" s="27">
        <v>2358.13</v>
      </c>
      <c r="AN256" s="27">
        <v>2549.61</v>
      </c>
      <c r="AO256" s="27">
        <v>3203.71</v>
      </c>
      <c r="AP256" s="27">
        <v>3380.94</v>
      </c>
      <c r="AQ256" s="27">
        <v>4663.8500000000004</v>
      </c>
      <c r="AR256" s="27">
        <v>5397.65</v>
      </c>
      <c r="AS256" s="27">
        <v>6167.98</v>
      </c>
      <c r="AT256" s="27">
        <v>7050.59</v>
      </c>
      <c r="AU256" s="27">
        <v>7553.96</v>
      </c>
      <c r="AV256" s="27">
        <v>8577.16</v>
      </c>
      <c r="AW256" s="27">
        <v>9653.7999999999993</v>
      </c>
    </row>
    <row r="257" spans="1:49" x14ac:dyDescent="0.35">
      <c r="A257" t="s">
        <v>8</v>
      </c>
      <c r="B257" t="s">
        <v>103</v>
      </c>
      <c r="C257" t="s">
        <v>104</v>
      </c>
      <c r="D257" t="s">
        <v>70</v>
      </c>
      <c r="F257" t="s">
        <v>106</v>
      </c>
      <c r="G257">
        <v>15.093999999999999</v>
      </c>
      <c r="H257">
        <v>10.862</v>
      </c>
      <c r="I257">
        <v>9.9250000000000007</v>
      </c>
      <c r="J257">
        <v>9.8710000000000004</v>
      </c>
      <c r="K257">
        <v>10.430999999999999</v>
      </c>
      <c r="L257">
        <v>12.587</v>
      </c>
      <c r="M257">
        <v>11.78</v>
      </c>
      <c r="N257">
        <v>10.353</v>
      </c>
      <c r="O257">
        <v>14.179</v>
      </c>
      <c r="P257">
        <v>15.42</v>
      </c>
      <c r="Q257">
        <v>16.396999999999998</v>
      </c>
      <c r="R257">
        <v>11.045</v>
      </c>
      <c r="S257">
        <v>13.846</v>
      </c>
      <c r="T257">
        <v>12.944000000000001</v>
      </c>
      <c r="U257">
        <v>11.196999999999999</v>
      </c>
      <c r="V257">
        <v>11.432</v>
      </c>
      <c r="W257">
        <v>12.87</v>
      </c>
      <c r="X257">
        <v>14.976000000000001</v>
      </c>
      <c r="Y257">
        <v>13.689</v>
      </c>
      <c r="Z257">
        <v>15.01</v>
      </c>
      <c r="AA257">
        <v>15.513</v>
      </c>
      <c r="AB257">
        <v>14.042</v>
      </c>
      <c r="AC257">
        <v>10.163</v>
      </c>
      <c r="AD257">
        <v>15.414999999999999</v>
      </c>
      <c r="AE257">
        <v>20.274000000000001</v>
      </c>
      <c r="AF257">
        <v>18.462</v>
      </c>
      <c r="AG257">
        <v>20.962</v>
      </c>
      <c r="AH257">
        <v>15.996</v>
      </c>
      <c r="AI257">
        <v>15.938000000000001</v>
      </c>
      <c r="AJ257">
        <v>11.525</v>
      </c>
      <c r="AK257">
        <v>13.173</v>
      </c>
      <c r="AL257">
        <v>11.675000000000001</v>
      </c>
      <c r="AM257">
        <v>10.83</v>
      </c>
      <c r="AN257">
        <v>10.897</v>
      </c>
      <c r="AO257">
        <v>12.43</v>
      </c>
      <c r="AP257">
        <v>11.827999999999999</v>
      </c>
      <c r="AQ257">
        <v>14.68</v>
      </c>
      <c r="AR257">
        <v>15.106</v>
      </c>
      <c r="AS257">
        <v>15.35</v>
      </c>
      <c r="AT257">
        <v>15.563000000000001</v>
      </c>
      <c r="AU257">
        <v>14.989000000000001</v>
      </c>
      <c r="AV257">
        <v>15.359</v>
      </c>
      <c r="AW257">
        <v>15.679</v>
      </c>
    </row>
    <row r="258" spans="1:49" x14ac:dyDescent="0.35">
      <c r="A258" t="s">
        <v>8</v>
      </c>
      <c r="B258" t="s">
        <v>107</v>
      </c>
      <c r="C258" t="s">
        <v>108</v>
      </c>
      <c r="D258" t="s">
        <v>31</v>
      </c>
      <c r="E258" t="s">
        <v>32</v>
      </c>
      <c r="F258" t="s">
        <v>161</v>
      </c>
      <c r="G258">
        <v>49.994999999999997</v>
      </c>
      <c r="H258">
        <v>46.996000000000002</v>
      </c>
      <c r="I258">
        <v>47.795999999999999</v>
      </c>
      <c r="J258">
        <v>54.195</v>
      </c>
      <c r="K258">
        <v>62.793999999999997</v>
      </c>
      <c r="L258">
        <v>59.694000000000003</v>
      </c>
      <c r="M258">
        <v>65.093999999999994</v>
      </c>
      <c r="N258">
        <v>71.393000000000001</v>
      </c>
      <c r="O258">
        <v>102.59</v>
      </c>
      <c r="P258">
        <v>157.58500000000001</v>
      </c>
      <c r="Q258">
        <v>156.785</v>
      </c>
      <c r="R258">
        <v>161.08500000000001</v>
      </c>
      <c r="S258">
        <v>224.179</v>
      </c>
      <c r="T258">
        <v>265.57499999999999</v>
      </c>
      <c r="U258">
        <v>360.767</v>
      </c>
      <c r="V258">
        <v>474.75599999999997</v>
      </c>
      <c r="W258">
        <v>576.67999999999995</v>
      </c>
      <c r="X258">
        <v>627.33600000000001</v>
      </c>
      <c r="Y258">
        <v>811.19100000000003</v>
      </c>
      <c r="Z258">
        <v>832.11599999999999</v>
      </c>
      <c r="AA258">
        <v>961.58</v>
      </c>
      <c r="AB258" s="27">
        <v>1097.1300000000001</v>
      </c>
      <c r="AC258">
        <v>909.86199999999997</v>
      </c>
      <c r="AD258" s="27">
        <v>1307.08</v>
      </c>
      <c r="AE258" s="27">
        <v>2054.06</v>
      </c>
      <c r="AF258" s="27">
        <v>2153.98</v>
      </c>
      <c r="AG258" s="27">
        <v>2531.1999999999998</v>
      </c>
      <c r="AH258" s="27">
        <v>2569.67</v>
      </c>
      <c r="AI258" s="27">
        <v>2878.68</v>
      </c>
      <c r="AJ258" s="27">
        <v>2353.16</v>
      </c>
      <c r="AK258" s="27">
        <v>2562.13</v>
      </c>
      <c r="AL258" s="27">
        <v>2816.86</v>
      </c>
      <c r="AM258" s="27">
        <v>2926.78</v>
      </c>
      <c r="AN258" s="27">
        <v>3482.63</v>
      </c>
      <c r="AO258" s="27">
        <v>3796.63</v>
      </c>
      <c r="AP258" s="27">
        <v>4327.59</v>
      </c>
      <c r="AQ258" s="27">
        <v>5088.38</v>
      </c>
      <c r="AR258" s="27">
        <v>7233.06</v>
      </c>
      <c r="AS258" s="27">
        <v>8049.52</v>
      </c>
      <c r="AT258" s="27">
        <v>9092.81</v>
      </c>
      <c r="AU258" s="27">
        <v>9475.7900000000009</v>
      </c>
      <c r="AV258" s="27">
        <v>10552.06</v>
      </c>
      <c r="AW258" s="27">
        <v>11706.54</v>
      </c>
    </row>
    <row r="259" spans="1:49" x14ac:dyDescent="0.35">
      <c r="A259" t="s">
        <v>8</v>
      </c>
      <c r="B259" t="s">
        <v>107</v>
      </c>
      <c r="C259" t="s">
        <v>108</v>
      </c>
      <c r="D259" t="s">
        <v>70</v>
      </c>
      <c r="F259" t="s">
        <v>109</v>
      </c>
      <c r="G259">
        <v>29.271000000000001</v>
      </c>
      <c r="H259">
        <v>24.056000000000001</v>
      </c>
      <c r="I259">
        <v>19.379000000000001</v>
      </c>
      <c r="J259">
        <v>17.927</v>
      </c>
      <c r="K259">
        <v>18.523</v>
      </c>
      <c r="L259">
        <v>15.765000000000001</v>
      </c>
      <c r="M259">
        <v>14.769</v>
      </c>
      <c r="N259">
        <v>13.013</v>
      </c>
      <c r="O259">
        <v>14.925000000000001</v>
      </c>
      <c r="P259">
        <v>19.672000000000001</v>
      </c>
      <c r="Q259">
        <v>17.027000000000001</v>
      </c>
      <c r="R259">
        <v>16.391999999999999</v>
      </c>
      <c r="S259">
        <v>20.041</v>
      </c>
      <c r="T259">
        <v>20.584</v>
      </c>
      <c r="U259">
        <v>19.754999999999999</v>
      </c>
      <c r="V259">
        <v>17.611000000000001</v>
      </c>
      <c r="W259">
        <v>17.771999999999998</v>
      </c>
      <c r="X259">
        <v>17.378</v>
      </c>
      <c r="Y259">
        <v>19.939</v>
      </c>
      <c r="Z259">
        <v>17.792000000000002</v>
      </c>
      <c r="AA259">
        <v>18.321000000000002</v>
      </c>
      <c r="AB259">
        <v>18.382000000000001</v>
      </c>
      <c r="AC259">
        <v>15.143000000000001</v>
      </c>
      <c r="AD259">
        <v>19.282</v>
      </c>
      <c r="AE259">
        <v>25.186</v>
      </c>
      <c r="AF259">
        <v>21.34</v>
      </c>
      <c r="AG259">
        <v>21.420999999999999</v>
      </c>
      <c r="AH259">
        <v>18.675000000000001</v>
      </c>
      <c r="AI259">
        <v>17.901</v>
      </c>
      <c r="AJ259">
        <v>14.069000000000001</v>
      </c>
      <c r="AK259">
        <v>14.042999999999999</v>
      </c>
      <c r="AL259">
        <v>14.06</v>
      </c>
      <c r="AM259">
        <v>13.442</v>
      </c>
      <c r="AN259">
        <v>14.885</v>
      </c>
      <c r="AO259">
        <v>14.73</v>
      </c>
      <c r="AP259">
        <v>15.138999999999999</v>
      </c>
      <c r="AQ259">
        <v>16.016999999999999</v>
      </c>
      <c r="AR259">
        <v>20.242999999999999</v>
      </c>
      <c r="AS259">
        <v>20.032</v>
      </c>
      <c r="AT259">
        <v>20.071000000000002</v>
      </c>
      <c r="AU259">
        <v>18.802</v>
      </c>
      <c r="AV259">
        <v>18.895</v>
      </c>
      <c r="AW259">
        <v>19.013000000000002</v>
      </c>
    </row>
    <row r="260" spans="1:49" x14ac:dyDescent="0.35">
      <c r="A260" t="s">
        <v>8</v>
      </c>
      <c r="B260" t="s">
        <v>110</v>
      </c>
      <c r="C260" t="s">
        <v>111</v>
      </c>
      <c r="D260" t="s">
        <v>31</v>
      </c>
      <c r="E260" t="s">
        <v>32</v>
      </c>
      <c r="F260" t="s">
        <v>161</v>
      </c>
      <c r="G260">
        <v>-24.215</v>
      </c>
      <c r="H260">
        <v>-25.776</v>
      </c>
      <c r="I260">
        <v>-23.315999999999999</v>
      </c>
      <c r="J260">
        <v>-24.355</v>
      </c>
      <c r="K260">
        <v>-27.434000000000001</v>
      </c>
      <c r="L260">
        <v>-12.034000000000001</v>
      </c>
      <c r="M260">
        <v>-13.173999999999999</v>
      </c>
      <c r="N260">
        <v>-14.593</v>
      </c>
      <c r="O260">
        <v>-5.13</v>
      </c>
      <c r="P260">
        <v>-34.064999999999998</v>
      </c>
      <c r="Q260">
        <v>-5.8049999999999997</v>
      </c>
      <c r="R260">
        <v>-52.545000000000002</v>
      </c>
      <c r="S260">
        <v>-69.299000000000007</v>
      </c>
      <c r="T260">
        <v>-98.575000000000003</v>
      </c>
      <c r="U260">
        <v>-156.28700000000001</v>
      </c>
      <c r="V260">
        <v>-166.58600000000001</v>
      </c>
      <c r="W260">
        <v>-159.06</v>
      </c>
      <c r="X260">
        <v>-86.69</v>
      </c>
      <c r="Y260">
        <v>-254.27099999999999</v>
      </c>
      <c r="Z260">
        <v>-130.136</v>
      </c>
      <c r="AA260">
        <v>-147.40199999999999</v>
      </c>
      <c r="AB260">
        <v>-259.01100000000002</v>
      </c>
      <c r="AC260">
        <v>-299.23200000000003</v>
      </c>
      <c r="AD260">
        <v>-262.11900000000003</v>
      </c>
      <c r="AE260">
        <v>-400.60899999999998</v>
      </c>
      <c r="AF260">
        <v>-290.44400000000002</v>
      </c>
      <c r="AG260">
        <v>-54.164000000000001</v>
      </c>
      <c r="AH260">
        <v>-368.61500000000001</v>
      </c>
      <c r="AI260">
        <v>-315.73399999999998</v>
      </c>
      <c r="AJ260">
        <v>-425.41399999999999</v>
      </c>
      <c r="AK260">
        <v>-158.63999999999999</v>
      </c>
      <c r="AL260">
        <v>-477.97199999999998</v>
      </c>
      <c r="AM260">
        <v>-568.654</v>
      </c>
      <c r="AN260">
        <v>-933.01599999999996</v>
      </c>
      <c r="AO260">
        <v>-592.923</v>
      </c>
      <c r="AP260">
        <v>-946.65099999999995</v>
      </c>
      <c r="AQ260">
        <v>-424.53300000000002</v>
      </c>
      <c r="AR260" s="27">
        <v>-1835.41</v>
      </c>
      <c r="AS260" s="27">
        <v>-1881.54</v>
      </c>
      <c r="AT260" s="27">
        <v>-2042.22</v>
      </c>
      <c r="AU260" s="27">
        <v>-1921.83</v>
      </c>
      <c r="AV260" s="27">
        <v>-1974.9</v>
      </c>
      <c r="AW260" s="27">
        <v>-2052.7399999999998</v>
      </c>
    </row>
    <row r="261" spans="1:49" x14ac:dyDescent="0.35">
      <c r="A261" t="s">
        <v>8</v>
      </c>
      <c r="B261" t="s">
        <v>110</v>
      </c>
      <c r="C261" t="s">
        <v>111</v>
      </c>
      <c r="D261" t="s">
        <v>70</v>
      </c>
      <c r="F261" t="s">
        <v>112</v>
      </c>
      <c r="G261">
        <v>-14.178000000000001</v>
      </c>
      <c r="H261">
        <v>-13.194000000000001</v>
      </c>
      <c r="I261">
        <v>-9.4529999999999994</v>
      </c>
      <c r="J261">
        <v>-8.0559999999999992</v>
      </c>
      <c r="K261">
        <v>-8.093</v>
      </c>
      <c r="L261">
        <v>-3.1779999999999999</v>
      </c>
      <c r="M261">
        <v>-2.9889999999999999</v>
      </c>
      <c r="N261">
        <v>-2.66</v>
      </c>
      <c r="O261">
        <v>-0.746</v>
      </c>
      <c r="P261">
        <v>-4.2530000000000001</v>
      </c>
      <c r="Q261">
        <v>-0.63</v>
      </c>
      <c r="R261">
        <v>-5.3470000000000004</v>
      </c>
      <c r="S261">
        <v>-6.1950000000000003</v>
      </c>
      <c r="T261">
        <v>-7.64</v>
      </c>
      <c r="U261">
        <v>-8.5579999999999998</v>
      </c>
      <c r="V261">
        <v>-6.18</v>
      </c>
      <c r="W261">
        <v>-4.9020000000000001</v>
      </c>
      <c r="X261">
        <v>-2.4009999999999998</v>
      </c>
      <c r="Y261">
        <v>-6.25</v>
      </c>
      <c r="Z261">
        <v>-2.7829999999999999</v>
      </c>
      <c r="AA261">
        <v>-2.8090000000000002</v>
      </c>
      <c r="AB261">
        <v>-4.34</v>
      </c>
      <c r="AC261">
        <v>-4.9800000000000004</v>
      </c>
      <c r="AD261">
        <v>-3.867</v>
      </c>
      <c r="AE261">
        <v>-4.9119999999999999</v>
      </c>
      <c r="AF261">
        <v>-2.8769999999999998</v>
      </c>
      <c r="AG261">
        <v>-0.45800000000000002</v>
      </c>
      <c r="AH261">
        <v>-2.6789999999999998</v>
      </c>
      <c r="AI261">
        <v>-1.9630000000000001</v>
      </c>
      <c r="AJ261">
        <v>-2.5430000000000001</v>
      </c>
      <c r="AK261">
        <v>-0.86899999999999999</v>
      </c>
      <c r="AL261">
        <v>-2.3860000000000001</v>
      </c>
      <c r="AM261">
        <v>-2.6120000000000001</v>
      </c>
      <c r="AN261">
        <v>-3.988</v>
      </c>
      <c r="AO261">
        <v>-2.2999999999999998</v>
      </c>
      <c r="AP261">
        <v>-3.3119999999999998</v>
      </c>
      <c r="AQ261">
        <v>-1.3360000000000001</v>
      </c>
      <c r="AR261">
        <v>-5.1369999999999996</v>
      </c>
      <c r="AS261">
        <v>-4.6820000000000004</v>
      </c>
      <c r="AT261">
        <v>-4.508</v>
      </c>
      <c r="AU261">
        <v>-3.8130000000000002</v>
      </c>
      <c r="AV261">
        <v>-3.536</v>
      </c>
      <c r="AW261">
        <v>-3.3340000000000001</v>
      </c>
    </row>
    <row r="262" spans="1:49" x14ac:dyDescent="0.35">
      <c r="A262" t="s">
        <v>8</v>
      </c>
      <c r="B262" t="s">
        <v>113</v>
      </c>
      <c r="C262" t="s">
        <v>114</v>
      </c>
      <c r="D262" t="s">
        <v>31</v>
      </c>
      <c r="E262" t="s">
        <v>32</v>
      </c>
    </row>
    <row r="263" spans="1:49" x14ac:dyDescent="0.35">
      <c r="A263" t="s">
        <v>8</v>
      </c>
      <c r="B263" t="s">
        <v>113</v>
      </c>
      <c r="C263" t="s">
        <v>114</v>
      </c>
      <c r="D263" t="s">
        <v>61</v>
      </c>
    </row>
    <row r="264" spans="1:49" x14ac:dyDescent="0.35">
      <c r="A264" t="s">
        <v>8</v>
      </c>
      <c r="B264" t="s">
        <v>115</v>
      </c>
      <c r="C264" t="s">
        <v>116</v>
      </c>
      <c r="D264" t="s">
        <v>31</v>
      </c>
      <c r="E264" t="s">
        <v>32</v>
      </c>
      <c r="F264" t="s">
        <v>161</v>
      </c>
      <c r="G264">
        <v>-23.414999999999999</v>
      </c>
      <c r="H264">
        <v>-24.436</v>
      </c>
      <c r="I264">
        <v>-21.116</v>
      </c>
      <c r="J264">
        <v>-21.375</v>
      </c>
      <c r="K264">
        <v>-22.934000000000001</v>
      </c>
      <c r="L264">
        <v>-6.9539999999999997</v>
      </c>
      <c r="M264">
        <v>-7.6740000000000004</v>
      </c>
      <c r="N264">
        <v>-7.6929999999999996</v>
      </c>
      <c r="O264">
        <v>6.17</v>
      </c>
      <c r="P264">
        <v>-21.045000000000002</v>
      </c>
      <c r="Q264">
        <v>8.0950000000000006</v>
      </c>
      <c r="R264">
        <v>-32.664999999999999</v>
      </c>
      <c r="S264">
        <v>-30.959</v>
      </c>
      <c r="T264">
        <v>-46.914999999999999</v>
      </c>
      <c r="U264">
        <v>-57.887</v>
      </c>
      <c r="V264">
        <v>-29.006</v>
      </c>
      <c r="W264">
        <v>-7.22</v>
      </c>
      <c r="X264">
        <v>23.099</v>
      </c>
      <c r="Y264">
        <v>-143.506</v>
      </c>
      <c r="Z264">
        <v>-31.582000000000001</v>
      </c>
      <c r="AA264">
        <v>-24.949000000000002</v>
      </c>
      <c r="AB264">
        <v>-140.63399999999999</v>
      </c>
      <c r="AC264">
        <v>-167.33600000000001</v>
      </c>
      <c r="AD264">
        <v>-112.04600000000001</v>
      </c>
      <c r="AE264">
        <v>-161.12899999999999</v>
      </c>
      <c r="AF264">
        <v>-23.844000000000001</v>
      </c>
      <c r="AG264">
        <v>230.636</v>
      </c>
      <c r="AH264">
        <v>-213.01499999999999</v>
      </c>
      <c r="AI264">
        <v>-188.4</v>
      </c>
      <c r="AJ264">
        <v>-296.92200000000003</v>
      </c>
      <c r="AK264">
        <v>-10.738</v>
      </c>
      <c r="AL264">
        <v>-307.702</v>
      </c>
      <c r="AM264">
        <v>-413.601</v>
      </c>
      <c r="AN264">
        <v>-774.36</v>
      </c>
      <c r="AO264">
        <v>-450.52300000000002</v>
      </c>
      <c r="AP264">
        <v>-716.36800000000005</v>
      </c>
      <c r="AQ264">
        <v>-146.38399999999999</v>
      </c>
      <c r="AR264" s="27">
        <v>-1496.32</v>
      </c>
      <c r="AS264" s="27">
        <v>-1481.45</v>
      </c>
      <c r="AT264" s="27">
        <v>-1580.31</v>
      </c>
      <c r="AU264" s="27">
        <v>-1419.61</v>
      </c>
      <c r="AV264" s="27">
        <v>-1419.46</v>
      </c>
      <c r="AW264" s="27">
        <v>-1447.8</v>
      </c>
    </row>
    <row r="265" spans="1:49" x14ac:dyDescent="0.35">
      <c r="A265" t="s">
        <v>8</v>
      </c>
      <c r="B265" t="s">
        <v>115</v>
      </c>
      <c r="C265" t="s">
        <v>116</v>
      </c>
      <c r="D265" t="s">
        <v>70</v>
      </c>
      <c r="F265" t="s">
        <v>117</v>
      </c>
      <c r="G265">
        <v>-13.709</v>
      </c>
      <c r="H265">
        <v>-12.507999999999999</v>
      </c>
      <c r="I265">
        <v>-8.5609999999999999</v>
      </c>
      <c r="J265">
        <v>-7.0709999999999997</v>
      </c>
      <c r="K265">
        <v>-6.7649999999999997</v>
      </c>
      <c r="L265">
        <v>-1.837</v>
      </c>
      <c r="M265">
        <v>-1.7410000000000001</v>
      </c>
      <c r="N265">
        <v>-1.4019999999999999</v>
      </c>
      <c r="O265">
        <v>0.89800000000000002</v>
      </c>
      <c r="P265">
        <v>-2.6269999999999998</v>
      </c>
      <c r="Q265">
        <v>0.879</v>
      </c>
      <c r="R265">
        <v>-3.3239999999999998</v>
      </c>
      <c r="S265">
        <v>-2.7679999999999998</v>
      </c>
      <c r="T265">
        <v>-3.6360000000000001</v>
      </c>
      <c r="U265">
        <v>-3.17</v>
      </c>
      <c r="V265">
        <v>-1.0760000000000001</v>
      </c>
      <c r="W265">
        <v>-0.223</v>
      </c>
      <c r="X265">
        <v>0.64</v>
      </c>
      <c r="Y265">
        <v>-3.5270000000000001</v>
      </c>
      <c r="Z265">
        <v>-0.67500000000000004</v>
      </c>
      <c r="AA265">
        <v>-0.47499999999999998</v>
      </c>
      <c r="AB265">
        <v>-2.3559999999999999</v>
      </c>
      <c r="AC265">
        <v>-2.7850000000000001</v>
      </c>
      <c r="AD265">
        <v>-1.653</v>
      </c>
      <c r="AE265">
        <v>-1.976</v>
      </c>
      <c r="AF265">
        <v>-0.23599999999999999</v>
      </c>
      <c r="AG265">
        <v>1.952</v>
      </c>
      <c r="AH265">
        <v>-1.548</v>
      </c>
      <c r="AI265">
        <v>-1.1719999999999999</v>
      </c>
      <c r="AJ265">
        <v>-1.7749999999999999</v>
      </c>
      <c r="AK265">
        <v>-5.8999999999999997E-2</v>
      </c>
      <c r="AL265">
        <v>-1.536</v>
      </c>
      <c r="AM265">
        <v>-1.9</v>
      </c>
      <c r="AN265">
        <v>-3.31</v>
      </c>
      <c r="AO265">
        <v>-1.748</v>
      </c>
      <c r="AP265">
        <v>-2.5059999999999998</v>
      </c>
      <c r="AQ265">
        <v>-0.46100000000000002</v>
      </c>
      <c r="AR265">
        <v>-4.1879999999999997</v>
      </c>
      <c r="AS265">
        <v>-3.6869999999999998</v>
      </c>
      <c r="AT265">
        <v>-3.488</v>
      </c>
      <c r="AU265">
        <v>-2.8170000000000002</v>
      </c>
      <c r="AV265">
        <v>-2.5419999999999998</v>
      </c>
      <c r="AW265">
        <v>-2.351</v>
      </c>
    </row>
    <row r="266" spans="1:49" x14ac:dyDescent="0.35">
      <c r="A266" t="s">
        <v>8</v>
      </c>
      <c r="B266" t="s">
        <v>118</v>
      </c>
      <c r="C266" t="s">
        <v>119</v>
      </c>
      <c r="D266" t="s">
        <v>31</v>
      </c>
      <c r="E266" t="s">
        <v>32</v>
      </c>
    </row>
    <row r="267" spans="1:49" x14ac:dyDescent="0.35">
      <c r="A267" t="s">
        <v>8</v>
      </c>
      <c r="B267" t="s">
        <v>118</v>
      </c>
      <c r="C267" t="s">
        <v>119</v>
      </c>
      <c r="D267" t="s">
        <v>70</v>
      </c>
    </row>
    <row r="268" spans="1:49" x14ac:dyDescent="0.35">
      <c r="A268" t="s">
        <v>8</v>
      </c>
      <c r="B268" t="s">
        <v>120</v>
      </c>
      <c r="C268" t="s">
        <v>121</v>
      </c>
      <c r="D268" t="s">
        <v>31</v>
      </c>
      <c r="E268" t="s">
        <v>32</v>
      </c>
      <c r="F268" t="s">
        <v>161</v>
      </c>
      <c r="G268" t="s">
        <v>82</v>
      </c>
      <c r="H268" t="s">
        <v>82</v>
      </c>
      <c r="I268" t="s">
        <v>82</v>
      </c>
      <c r="J268" t="s">
        <v>82</v>
      </c>
      <c r="K268" t="s">
        <v>82</v>
      </c>
      <c r="L268" t="s">
        <v>82</v>
      </c>
      <c r="M268" t="s">
        <v>82</v>
      </c>
      <c r="N268" t="s">
        <v>82</v>
      </c>
      <c r="O268" t="s">
        <v>82</v>
      </c>
      <c r="P268" t="s">
        <v>82</v>
      </c>
      <c r="Q268" s="27">
        <v>1089.06</v>
      </c>
      <c r="R268" s="27">
        <v>1360.01</v>
      </c>
      <c r="S268" s="27">
        <v>1535.52</v>
      </c>
      <c r="T268" s="27">
        <v>1636</v>
      </c>
      <c r="U268" s="27">
        <v>2073.54</v>
      </c>
      <c r="V268" s="27">
        <v>3123.43</v>
      </c>
      <c r="W268" s="27">
        <v>3946.69</v>
      </c>
      <c r="X268" s="27">
        <v>3894.19</v>
      </c>
      <c r="Y268" s="27">
        <v>5144.5200000000004</v>
      </c>
      <c r="Z268" s="27">
        <v>5535.93</v>
      </c>
      <c r="AA268" s="27">
        <v>5618.36</v>
      </c>
      <c r="AB268" s="27">
        <v>5855.32</v>
      </c>
      <c r="AC268" s="27">
        <v>6311.56</v>
      </c>
      <c r="AD268" s="27">
        <v>6758.87</v>
      </c>
      <c r="AE268" s="27">
        <v>7751.64</v>
      </c>
      <c r="AF268" s="27">
        <v>8727.84</v>
      </c>
      <c r="AG268" s="27">
        <v>4415.5</v>
      </c>
      <c r="AH268" s="27">
        <v>4506.33</v>
      </c>
      <c r="AI268" s="27">
        <v>5063.83</v>
      </c>
      <c r="AJ268" s="27">
        <v>5633.01</v>
      </c>
      <c r="AK268" s="27">
        <v>5781.96</v>
      </c>
      <c r="AL268" s="27">
        <v>6447.14</v>
      </c>
      <c r="AM268" s="27">
        <v>7191.51</v>
      </c>
      <c r="AN268" s="27">
        <v>7929.58</v>
      </c>
      <c r="AO268" s="27">
        <v>8931.18</v>
      </c>
      <c r="AP268" s="27">
        <v>10156.959999999999</v>
      </c>
      <c r="AQ268" s="27">
        <v>12302.65</v>
      </c>
      <c r="AR268" s="27">
        <v>14959.63</v>
      </c>
      <c r="AS268" s="27">
        <v>17185.02</v>
      </c>
      <c r="AT268" s="27">
        <v>19783.13</v>
      </c>
      <c r="AU268" s="27">
        <v>21868.36</v>
      </c>
      <c r="AV268" s="27">
        <v>23881.34</v>
      </c>
      <c r="AW268" s="27">
        <v>25820.959999999999</v>
      </c>
    </row>
    <row r="269" spans="1:49" s="29" customFormat="1" x14ac:dyDescent="0.35">
      <c r="A269" s="29" t="s">
        <v>8</v>
      </c>
      <c r="B269" s="29" t="s">
        <v>120</v>
      </c>
      <c r="C269" s="29" t="s">
        <v>121</v>
      </c>
      <c r="D269" s="29" t="s">
        <v>70</v>
      </c>
      <c r="F269" s="29" t="s">
        <v>122</v>
      </c>
      <c r="G269" s="29" t="s">
        <v>82</v>
      </c>
      <c r="H269" s="29" t="s">
        <v>82</v>
      </c>
      <c r="I269" s="29" t="s">
        <v>82</v>
      </c>
      <c r="J269" s="29" t="s">
        <v>82</v>
      </c>
      <c r="K269" s="29" t="s">
        <v>82</v>
      </c>
      <c r="L269" s="29" t="s">
        <v>82</v>
      </c>
      <c r="M269" s="29" t="s">
        <v>82</v>
      </c>
      <c r="N269" s="29" t="s">
        <v>82</v>
      </c>
      <c r="O269" s="29" t="s">
        <v>82</v>
      </c>
      <c r="P269" s="29" t="s">
        <v>82</v>
      </c>
      <c r="Q269" s="29">
        <v>118.27500000000001</v>
      </c>
      <c r="R269" s="29">
        <v>138.392</v>
      </c>
      <c r="S269" s="29">
        <v>137.26900000000001</v>
      </c>
      <c r="T269" s="29">
        <v>126.804</v>
      </c>
      <c r="U269" s="29">
        <v>113.542</v>
      </c>
      <c r="V269" s="29">
        <v>115.86499999999999</v>
      </c>
      <c r="W269" s="29">
        <v>121.628</v>
      </c>
      <c r="X269" s="29">
        <v>107.871</v>
      </c>
      <c r="Y269" s="29">
        <v>126.452</v>
      </c>
      <c r="Z269" s="29">
        <v>118.37</v>
      </c>
      <c r="AA269" s="29">
        <v>107.04900000000001</v>
      </c>
      <c r="AB269" s="29">
        <v>98.102000000000004</v>
      </c>
      <c r="AC269" s="29">
        <v>105.04600000000001</v>
      </c>
      <c r="AD269" s="29">
        <v>99.709000000000003</v>
      </c>
      <c r="AE269" s="29">
        <v>95.046999999999997</v>
      </c>
      <c r="AF269" s="29">
        <v>86.466999999999999</v>
      </c>
      <c r="AG269" s="29">
        <v>37.366999999999997</v>
      </c>
      <c r="AH269" s="29">
        <v>32.75</v>
      </c>
      <c r="AI269" s="29">
        <v>31.49</v>
      </c>
      <c r="AJ269" s="29">
        <v>33.677999999999997</v>
      </c>
      <c r="AK269" s="29">
        <v>31.69</v>
      </c>
      <c r="AL269" s="29">
        <v>32.180999999999997</v>
      </c>
      <c r="AM269" s="29">
        <v>33.029000000000003</v>
      </c>
      <c r="AN269" s="29">
        <v>33.890999999999998</v>
      </c>
      <c r="AO269" s="29">
        <v>34.651000000000003</v>
      </c>
      <c r="AP269" s="29">
        <v>35.533000000000001</v>
      </c>
      <c r="AQ269" s="29">
        <v>38.725000000000001</v>
      </c>
      <c r="AR269" s="29">
        <v>41.868000000000002</v>
      </c>
      <c r="AS269" s="29">
        <v>42.767000000000003</v>
      </c>
      <c r="AT269" s="29">
        <v>43.667999999999999</v>
      </c>
      <c r="AU269" s="29">
        <v>43.392000000000003</v>
      </c>
      <c r="AV269" s="29">
        <v>42.762999999999998</v>
      </c>
      <c r="AW269" s="29">
        <v>41.936999999999998</v>
      </c>
    </row>
    <row r="270" spans="1:49" x14ac:dyDescent="0.35">
      <c r="A270" t="s">
        <v>8</v>
      </c>
      <c r="B270" t="s">
        <v>123</v>
      </c>
      <c r="C270" t="s">
        <v>124</v>
      </c>
      <c r="D270" t="s">
        <v>31</v>
      </c>
      <c r="E270" t="s">
        <v>32</v>
      </c>
      <c r="F270" t="s">
        <v>161</v>
      </c>
      <c r="G270">
        <v>170.8</v>
      </c>
      <c r="H270">
        <v>195.363</v>
      </c>
      <c r="I270">
        <v>246.642</v>
      </c>
      <c r="J270">
        <v>302.30500000000001</v>
      </c>
      <c r="K270">
        <v>339</v>
      </c>
      <c r="L270">
        <v>378.64</v>
      </c>
      <c r="M270">
        <v>440.76</v>
      </c>
      <c r="N270">
        <v>548.64</v>
      </c>
      <c r="O270">
        <v>687.36</v>
      </c>
      <c r="P270">
        <v>801.06</v>
      </c>
      <c r="Q270">
        <v>920.78</v>
      </c>
      <c r="R270">
        <v>982.72</v>
      </c>
      <c r="S270" s="27">
        <v>1118.6199999999999</v>
      </c>
      <c r="T270" s="27">
        <v>1290.18</v>
      </c>
      <c r="U270" s="27">
        <v>1826.24</v>
      </c>
      <c r="V270" s="27">
        <v>2695.74</v>
      </c>
      <c r="W270" s="27">
        <v>3244.89</v>
      </c>
      <c r="X270" s="27">
        <v>3610.03</v>
      </c>
      <c r="Y270" s="27">
        <v>4068.35</v>
      </c>
      <c r="Z270" s="27">
        <v>4676.79</v>
      </c>
      <c r="AA270" s="27">
        <v>5248.42</v>
      </c>
      <c r="AB270" s="27">
        <v>5968.62</v>
      </c>
      <c r="AC270" s="27">
        <v>6008.37</v>
      </c>
      <c r="AD270" s="27">
        <v>6778.63</v>
      </c>
      <c r="AE270" s="27">
        <v>8155.57</v>
      </c>
      <c r="AF270" s="27">
        <v>10093.83</v>
      </c>
      <c r="AG270" s="27">
        <v>11816.69</v>
      </c>
      <c r="AH270" s="27">
        <v>13759.73</v>
      </c>
      <c r="AI270" s="27">
        <v>16080.9</v>
      </c>
      <c r="AJ270" s="27">
        <v>16726.27</v>
      </c>
      <c r="AK270" s="27">
        <v>18245.13</v>
      </c>
      <c r="AL270" s="27">
        <v>20033.89</v>
      </c>
      <c r="AM270" s="27">
        <v>21773.59</v>
      </c>
      <c r="AN270" s="27">
        <v>23397.02</v>
      </c>
      <c r="AO270" s="27">
        <v>25774.54</v>
      </c>
      <c r="AP270" s="27">
        <v>28584.82</v>
      </c>
      <c r="AQ270" s="27">
        <v>31769.18</v>
      </c>
      <c r="AR270" s="27">
        <v>35730.76</v>
      </c>
      <c r="AS270" s="27">
        <v>40182.81</v>
      </c>
      <c r="AT270" s="27">
        <v>45303.65</v>
      </c>
      <c r="AU270" s="27">
        <v>50397.599999999999</v>
      </c>
      <c r="AV270" s="27">
        <v>55845.56</v>
      </c>
      <c r="AW270" s="27">
        <v>61570.25</v>
      </c>
    </row>
    <row r="271" spans="1:49" x14ac:dyDescent="0.35">
      <c r="A271" t="s">
        <v>8</v>
      </c>
      <c r="B271" t="s">
        <v>125</v>
      </c>
      <c r="C271" t="s">
        <v>126</v>
      </c>
      <c r="D271" t="s">
        <v>41</v>
      </c>
      <c r="E271" t="s">
        <v>32</v>
      </c>
      <c r="F271" t="s">
        <v>162</v>
      </c>
      <c r="G271">
        <v>-0.55600000000000005</v>
      </c>
      <c r="H271">
        <v>-0.36299999999999999</v>
      </c>
      <c r="I271">
        <v>-0.29899999999999999</v>
      </c>
      <c r="J271">
        <v>-0.247</v>
      </c>
      <c r="K271">
        <v>-0.193</v>
      </c>
      <c r="L271">
        <v>-0.184</v>
      </c>
      <c r="M271">
        <v>-0.14299999999999999</v>
      </c>
      <c r="N271">
        <v>-0.14099999999999999</v>
      </c>
      <c r="O271">
        <v>-0.15</v>
      </c>
      <c r="P271">
        <v>-8.4000000000000005E-2</v>
      </c>
      <c r="Q271">
        <v>-0.26500000000000001</v>
      </c>
      <c r="R271">
        <v>-0.23</v>
      </c>
      <c r="S271">
        <v>-0.19800000000000001</v>
      </c>
      <c r="T271">
        <v>-0.25800000000000001</v>
      </c>
      <c r="U271">
        <v>-0.27700000000000002</v>
      </c>
      <c r="V271">
        <v>-0.27600000000000002</v>
      </c>
      <c r="W271">
        <v>-0.153</v>
      </c>
      <c r="X271">
        <v>-0.20200000000000001</v>
      </c>
      <c r="Y271">
        <v>-0.28899999999999998</v>
      </c>
      <c r="Z271">
        <v>-0.22500000000000001</v>
      </c>
      <c r="AA271">
        <v>-0.26</v>
      </c>
      <c r="AB271">
        <v>-0.14000000000000001</v>
      </c>
      <c r="AC271">
        <v>-0.47699999999999998</v>
      </c>
      <c r="AD271">
        <v>-0.32800000000000001</v>
      </c>
      <c r="AE271">
        <v>-0.39900000000000002</v>
      </c>
      <c r="AF271">
        <v>-0.69499999999999995</v>
      </c>
      <c r="AG271">
        <v>-0.20799999999999999</v>
      </c>
      <c r="AH271">
        <v>-0.93</v>
      </c>
      <c r="AI271">
        <v>-1.9370000000000001</v>
      </c>
      <c r="AJ271">
        <v>-1.8080000000000001</v>
      </c>
      <c r="AK271">
        <v>-0.84499999999999997</v>
      </c>
      <c r="AL271">
        <v>-0.68</v>
      </c>
      <c r="AM271">
        <v>-0.68500000000000005</v>
      </c>
      <c r="AN271">
        <v>-0.621</v>
      </c>
      <c r="AO271">
        <v>-3.4000000000000002E-2</v>
      </c>
      <c r="AP271">
        <v>-0.184</v>
      </c>
      <c r="AQ271">
        <v>7.4999999999999997E-2</v>
      </c>
      <c r="AR271">
        <v>-0.49399999999999999</v>
      </c>
      <c r="AS271">
        <v>-0.59</v>
      </c>
      <c r="AT271">
        <v>-0.60299999999999998</v>
      </c>
      <c r="AU271">
        <v>-0.54600000000000004</v>
      </c>
      <c r="AV271">
        <v>-0.56999999999999995</v>
      </c>
      <c r="AW271">
        <v>-0.58499999999999996</v>
      </c>
    </row>
    <row r="272" spans="1:49" x14ac:dyDescent="0.35">
      <c r="A272" t="s">
        <v>8</v>
      </c>
      <c r="B272" t="s">
        <v>125</v>
      </c>
      <c r="C272" t="s">
        <v>126</v>
      </c>
      <c r="D272" t="s">
        <v>70</v>
      </c>
      <c r="F272" t="s">
        <v>128</v>
      </c>
      <c r="G272">
        <v>-13.765000000000001</v>
      </c>
      <c r="H272">
        <v>-10.092000000000001</v>
      </c>
      <c r="I272">
        <v>-8.4879999999999995</v>
      </c>
      <c r="J272">
        <v>-7.0359999999999996</v>
      </c>
      <c r="K272">
        <v>-6.5759999999999996</v>
      </c>
      <c r="L272">
        <v>-6.423</v>
      </c>
      <c r="M272">
        <v>-4.3780000000000001</v>
      </c>
      <c r="N272">
        <v>-5.4889999999999999</v>
      </c>
      <c r="O272">
        <v>-6.141</v>
      </c>
      <c r="P272">
        <v>-3.3570000000000002</v>
      </c>
      <c r="Q272">
        <v>-8.5990000000000002</v>
      </c>
      <c r="R272">
        <v>-8.5820000000000007</v>
      </c>
      <c r="S272">
        <v>-6.5869999999999997</v>
      </c>
      <c r="T272">
        <v>-7.66</v>
      </c>
      <c r="U272">
        <v>-9.3059999999999992</v>
      </c>
      <c r="V272">
        <v>-8.734</v>
      </c>
      <c r="W272">
        <v>-3.8210000000000002</v>
      </c>
      <c r="X272">
        <v>-5.6920000000000002</v>
      </c>
      <c r="Y272">
        <v>-7.74</v>
      </c>
      <c r="Z272">
        <v>-6.0330000000000004</v>
      </c>
      <c r="AA272">
        <v>-6.7169999999999996</v>
      </c>
      <c r="AB272">
        <v>-3.0920000000000001</v>
      </c>
      <c r="AC272">
        <v>-10.848000000000001</v>
      </c>
      <c r="AD272">
        <v>-5.9909999999999997</v>
      </c>
      <c r="AE272">
        <v>-9.1430000000000007</v>
      </c>
      <c r="AF272">
        <v>-13.786</v>
      </c>
      <c r="AG272">
        <v>-3.7709999999999999</v>
      </c>
      <c r="AH272">
        <v>-12.661</v>
      </c>
      <c r="AI272">
        <v>-20.574999999999999</v>
      </c>
      <c r="AJ272">
        <v>-21.14</v>
      </c>
      <c r="AK272">
        <v>-9.6850000000000005</v>
      </c>
      <c r="AL272">
        <v>-6.8780000000000001</v>
      </c>
      <c r="AM272">
        <v>-6.907</v>
      </c>
      <c r="AN272">
        <v>-5.8570000000000002</v>
      </c>
      <c r="AO272">
        <v>-0.315</v>
      </c>
      <c r="AP272">
        <v>-1.889</v>
      </c>
      <c r="AQ272">
        <v>0.751</v>
      </c>
      <c r="AR272">
        <v>-4.6829999999999998</v>
      </c>
      <c r="AS272">
        <v>-5.2889999999999997</v>
      </c>
      <c r="AT272">
        <v>-5.0250000000000004</v>
      </c>
      <c r="AU272">
        <v>-4.2309999999999999</v>
      </c>
      <c r="AV272">
        <v>-4.12</v>
      </c>
      <c r="AW272">
        <v>-3.9670000000000001</v>
      </c>
    </row>
    <row r="273" spans="1:49" x14ac:dyDescent="0.35">
      <c r="A273" t="s">
        <v>9</v>
      </c>
      <c r="B273" t="s">
        <v>29</v>
      </c>
      <c r="C273" t="s">
        <v>30</v>
      </c>
      <c r="D273" t="s">
        <v>31</v>
      </c>
      <c r="E273" t="s">
        <v>32</v>
      </c>
      <c r="F273" t="s">
        <v>163</v>
      </c>
      <c r="G273">
        <v>375.80399999999997</v>
      </c>
      <c r="H273">
        <v>356.09300000000002</v>
      </c>
      <c r="I273">
        <v>365.053</v>
      </c>
      <c r="J273">
        <v>378.53699999999998</v>
      </c>
      <c r="K273">
        <v>398.875</v>
      </c>
      <c r="L273">
        <v>417.10700000000003</v>
      </c>
      <c r="M273">
        <v>416.21100000000001</v>
      </c>
      <c r="N273">
        <v>422.976</v>
      </c>
      <c r="O273">
        <v>436.41500000000002</v>
      </c>
      <c r="P273">
        <v>442.28300000000002</v>
      </c>
      <c r="Q273">
        <v>467.459</v>
      </c>
      <c r="R273">
        <v>508.26900000000001</v>
      </c>
      <c r="S273">
        <v>470.99799999999999</v>
      </c>
      <c r="T273">
        <v>516.64700000000005</v>
      </c>
      <c r="U273">
        <v>463.36399999999998</v>
      </c>
      <c r="V273">
        <v>527.44500000000005</v>
      </c>
      <c r="W273">
        <v>580.07799999999997</v>
      </c>
      <c r="X273">
        <v>618.28899999999999</v>
      </c>
      <c r="Y273">
        <v>624.84900000000005</v>
      </c>
      <c r="Z273">
        <v>646.976</v>
      </c>
      <c r="AA273">
        <v>651.99300000000005</v>
      </c>
      <c r="AB273">
        <v>625.41999999999996</v>
      </c>
      <c r="AC273">
        <v>636.42999999999995</v>
      </c>
      <c r="AD273">
        <v>672.74199999999996</v>
      </c>
      <c r="AE273">
        <v>709.20799999999997</v>
      </c>
      <c r="AF273">
        <v>732.39</v>
      </c>
      <c r="AG273">
        <v>766.81299999999999</v>
      </c>
      <c r="AH273">
        <v>840.42700000000002</v>
      </c>
      <c r="AI273">
        <v>904.63300000000004</v>
      </c>
      <c r="AJ273">
        <v>979.97199999999998</v>
      </c>
      <c r="AK273" s="27">
        <v>1047.3399999999999</v>
      </c>
      <c r="AL273" s="27">
        <v>1098.17</v>
      </c>
      <c r="AM273" s="27">
        <v>1118.8800000000001</v>
      </c>
      <c r="AN273" s="27">
        <v>1177.07</v>
      </c>
      <c r="AO273" s="27">
        <v>1244.1600000000001</v>
      </c>
      <c r="AP273" s="27">
        <v>1280.8599999999999</v>
      </c>
      <c r="AQ273" s="27">
        <v>1309.94</v>
      </c>
      <c r="AR273" s="27">
        <v>1368.88</v>
      </c>
      <c r="AS273" s="27">
        <v>1437.33</v>
      </c>
      <c r="AT273" s="27">
        <v>1516.38</v>
      </c>
      <c r="AU273" s="27">
        <v>1599.78</v>
      </c>
      <c r="AV273" s="27">
        <v>1687.77</v>
      </c>
      <c r="AW273" s="27">
        <v>1780.6</v>
      </c>
    </row>
    <row r="274" spans="1:49" x14ac:dyDescent="0.35">
      <c r="A274" t="s">
        <v>9</v>
      </c>
      <c r="B274" t="s">
        <v>29</v>
      </c>
      <c r="C274" t="s">
        <v>34</v>
      </c>
      <c r="D274" t="s">
        <v>35</v>
      </c>
      <c r="F274" t="s">
        <v>36</v>
      </c>
      <c r="G274">
        <v>0.39500000000000002</v>
      </c>
      <c r="H274">
        <v>-5.2450000000000001</v>
      </c>
      <c r="I274">
        <v>2.516</v>
      </c>
      <c r="J274">
        <v>3.694</v>
      </c>
      <c r="K274">
        <v>5.3730000000000002</v>
      </c>
      <c r="L274">
        <v>4.5709999999999997</v>
      </c>
      <c r="M274">
        <v>-0.215</v>
      </c>
      <c r="N274">
        <v>1.625</v>
      </c>
      <c r="O274">
        <v>3.177</v>
      </c>
      <c r="P274">
        <v>1.345</v>
      </c>
      <c r="Q274">
        <v>5.6920000000000002</v>
      </c>
      <c r="R274">
        <v>8.73</v>
      </c>
      <c r="S274">
        <v>-7.3330000000000002</v>
      </c>
      <c r="T274">
        <v>9.6920000000000002</v>
      </c>
      <c r="U274">
        <v>-10.313000000000001</v>
      </c>
      <c r="V274">
        <v>13.83</v>
      </c>
      <c r="W274">
        <v>9.9789999999999992</v>
      </c>
      <c r="X274">
        <v>6.5869999999999997</v>
      </c>
      <c r="Y274">
        <v>1.0609999999999999</v>
      </c>
      <c r="Z274">
        <v>3.5409999999999999</v>
      </c>
      <c r="AA274">
        <v>0.77500000000000002</v>
      </c>
      <c r="AB274">
        <v>-4.0759999999999996</v>
      </c>
      <c r="AC274">
        <v>1.76</v>
      </c>
      <c r="AD274">
        <v>5.7060000000000004</v>
      </c>
      <c r="AE274">
        <v>5.42</v>
      </c>
      <c r="AF274">
        <v>3.2690000000000001</v>
      </c>
      <c r="AG274">
        <v>4.7</v>
      </c>
      <c r="AH274">
        <v>9.6</v>
      </c>
      <c r="AI274">
        <v>7.64</v>
      </c>
      <c r="AJ274">
        <v>8.3279999999999994</v>
      </c>
      <c r="AK274">
        <v>6.8739999999999997</v>
      </c>
      <c r="AL274">
        <v>4.8540000000000001</v>
      </c>
      <c r="AM274">
        <v>1.8859999999999999</v>
      </c>
      <c r="AN274">
        <v>5.2</v>
      </c>
      <c r="AO274">
        <v>5.7</v>
      </c>
      <c r="AP274">
        <v>2.95</v>
      </c>
      <c r="AQ274">
        <v>2.27</v>
      </c>
      <c r="AR274">
        <v>4.5</v>
      </c>
      <c r="AS274">
        <v>5</v>
      </c>
      <c r="AT274">
        <v>5.5</v>
      </c>
      <c r="AU274">
        <v>5.5</v>
      </c>
      <c r="AV274">
        <v>5.5</v>
      </c>
      <c r="AW274">
        <v>5.5</v>
      </c>
    </row>
    <row r="275" spans="1:49" x14ac:dyDescent="0.35">
      <c r="A275" t="s">
        <v>9</v>
      </c>
      <c r="B275" t="s">
        <v>37</v>
      </c>
      <c r="C275" t="s">
        <v>38</v>
      </c>
      <c r="D275" t="s">
        <v>31</v>
      </c>
      <c r="E275" t="s">
        <v>32</v>
      </c>
      <c r="F275" t="s">
        <v>163</v>
      </c>
      <c r="G275">
        <v>1.7430000000000001</v>
      </c>
      <c r="H275">
        <v>1.9219999999999999</v>
      </c>
      <c r="I275">
        <v>2.16</v>
      </c>
      <c r="J275">
        <v>2.492</v>
      </c>
      <c r="K275">
        <v>2.9609999999999999</v>
      </c>
      <c r="L275">
        <v>3.3730000000000002</v>
      </c>
      <c r="M275">
        <v>3.8109999999999999</v>
      </c>
      <c r="N275">
        <v>4.4459999999999997</v>
      </c>
      <c r="O275">
        <v>5.9269999999999996</v>
      </c>
      <c r="P275">
        <v>7.282</v>
      </c>
      <c r="Q275">
        <v>8.1829999999999998</v>
      </c>
      <c r="R275">
        <v>10.712</v>
      </c>
      <c r="S275">
        <v>11.244</v>
      </c>
      <c r="T275">
        <v>15.808999999999999</v>
      </c>
      <c r="U275">
        <v>18.177</v>
      </c>
      <c r="V275">
        <v>37.036999999999999</v>
      </c>
      <c r="W275">
        <v>60.552</v>
      </c>
      <c r="X275">
        <v>75.942999999999998</v>
      </c>
      <c r="Y275">
        <v>94.325000000000003</v>
      </c>
      <c r="Z275">
        <v>135.77199999999999</v>
      </c>
      <c r="AA275">
        <v>180.02199999999999</v>
      </c>
      <c r="AB275">
        <v>214.233</v>
      </c>
      <c r="AC275">
        <v>268.06599999999997</v>
      </c>
      <c r="AD275">
        <v>312.67700000000002</v>
      </c>
      <c r="AE275">
        <v>378.56400000000002</v>
      </c>
      <c r="AF275">
        <v>432.93</v>
      </c>
      <c r="AG275">
        <v>543.78499999999997</v>
      </c>
      <c r="AH275">
        <v>620.42200000000003</v>
      </c>
      <c r="AI275">
        <v>747.72299999999996</v>
      </c>
      <c r="AJ275">
        <v>873.98199999999997</v>
      </c>
      <c r="AK275" s="27">
        <v>1047.3399999999999</v>
      </c>
      <c r="AL275" s="27">
        <v>1252.75</v>
      </c>
      <c r="AM275" s="27">
        <v>1501.73</v>
      </c>
      <c r="AN275" s="27">
        <v>2011.12</v>
      </c>
      <c r="AO275" s="27">
        <v>2569.69</v>
      </c>
      <c r="AP275" s="27">
        <v>3200.56</v>
      </c>
      <c r="AQ275" s="27">
        <v>3919.4</v>
      </c>
      <c r="AR275" s="27">
        <v>4595.57</v>
      </c>
      <c r="AS275" s="27">
        <v>5237.7700000000004</v>
      </c>
      <c r="AT275" s="27">
        <v>5920.94</v>
      </c>
      <c r="AU275" s="27">
        <v>6682.3</v>
      </c>
      <c r="AV275" s="27">
        <v>7408.07</v>
      </c>
      <c r="AW275" s="27">
        <v>8088.83</v>
      </c>
    </row>
    <row r="276" spans="1:49" x14ac:dyDescent="0.35">
      <c r="A276" t="s">
        <v>9</v>
      </c>
      <c r="B276" t="s">
        <v>37</v>
      </c>
      <c r="C276" t="s">
        <v>40</v>
      </c>
      <c r="D276" t="s">
        <v>41</v>
      </c>
      <c r="E276" t="s">
        <v>32</v>
      </c>
      <c r="F276" t="s">
        <v>42</v>
      </c>
      <c r="G276">
        <v>2.1459999999999999</v>
      </c>
      <c r="H276">
        <v>2.1459999999999999</v>
      </c>
      <c r="I276">
        <v>2.0459999999999998</v>
      </c>
      <c r="J276">
        <v>2.121</v>
      </c>
      <c r="K276">
        <v>2.0950000000000002</v>
      </c>
      <c r="L276">
        <v>1.962</v>
      </c>
      <c r="M276">
        <v>2.048</v>
      </c>
      <c r="N276">
        <v>2.0129999999999999</v>
      </c>
      <c r="O276">
        <v>2.3140000000000001</v>
      </c>
      <c r="P276">
        <v>2.6389999999999998</v>
      </c>
      <c r="Q276">
        <v>2.9990000000000001</v>
      </c>
      <c r="R276">
        <v>3.8210000000000002</v>
      </c>
      <c r="S276">
        <v>3.12</v>
      </c>
      <c r="T276">
        <v>3.5910000000000002</v>
      </c>
      <c r="U276">
        <v>2.081</v>
      </c>
      <c r="V276">
        <v>2.423</v>
      </c>
      <c r="W276">
        <v>3.956</v>
      </c>
      <c r="X276">
        <v>4.6189999999999998</v>
      </c>
      <c r="Y276">
        <v>3.036</v>
      </c>
      <c r="Z276">
        <v>3.08</v>
      </c>
      <c r="AA276">
        <v>3.0230000000000001</v>
      </c>
      <c r="AB276">
        <v>2.9670000000000001</v>
      </c>
      <c r="AC276">
        <v>3.496</v>
      </c>
      <c r="AD276">
        <v>3.2109999999999999</v>
      </c>
      <c r="AE276">
        <v>3.476</v>
      </c>
      <c r="AF276">
        <v>3.6560000000000001</v>
      </c>
      <c r="AG276">
        <v>3.9980000000000002</v>
      </c>
      <c r="AH276">
        <v>4.431</v>
      </c>
      <c r="AI276">
        <v>5.3209999999999997</v>
      </c>
      <c r="AJ276">
        <v>6.1950000000000003</v>
      </c>
      <c r="AK276">
        <v>6.9569999999999999</v>
      </c>
      <c r="AL276">
        <v>7.984</v>
      </c>
      <c r="AM276">
        <v>5.9809999999999999</v>
      </c>
      <c r="AN276">
        <v>5.4320000000000004</v>
      </c>
      <c r="AO276">
        <v>6.0549999999999997</v>
      </c>
      <c r="AP276">
        <v>6.4059999999999997</v>
      </c>
      <c r="AQ276">
        <v>5.4889999999999999</v>
      </c>
      <c r="AR276">
        <v>6.2610000000000001</v>
      </c>
      <c r="AS276">
        <v>6.7380000000000004</v>
      </c>
      <c r="AT276">
        <v>7.117</v>
      </c>
      <c r="AU276">
        <v>7.6420000000000003</v>
      </c>
      <c r="AV276">
        <v>8.2230000000000008</v>
      </c>
      <c r="AW276">
        <v>8.8740000000000006</v>
      </c>
    </row>
    <row r="277" spans="1:49" x14ac:dyDescent="0.35">
      <c r="A277" t="s">
        <v>9</v>
      </c>
      <c r="B277" t="s">
        <v>37</v>
      </c>
      <c r="C277" t="s">
        <v>43</v>
      </c>
      <c r="D277" t="s">
        <v>44</v>
      </c>
      <c r="E277" t="s">
        <v>32</v>
      </c>
      <c r="F277" t="s">
        <v>42</v>
      </c>
      <c r="G277">
        <v>2.415</v>
      </c>
      <c r="H277">
        <v>2.5019999999999998</v>
      </c>
      <c r="I277">
        <v>2.7240000000000002</v>
      </c>
      <c r="J277">
        <v>2.9359999999999999</v>
      </c>
      <c r="K277">
        <v>3.2029999999999998</v>
      </c>
      <c r="L277">
        <v>3.4569999999999999</v>
      </c>
      <c r="M277">
        <v>3.5190000000000001</v>
      </c>
      <c r="N277">
        <v>3.6680000000000001</v>
      </c>
      <c r="O277">
        <v>3.9169999999999998</v>
      </c>
      <c r="P277">
        <v>4.1239999999999997</v>
      </c>
      <c r="Q277">
        <v>4.5199999999999996</v>
      </c>
      <c r="R277">
        <v>5.0780000000000003</v>
      </c>
      <c r="S277">
        <v>4.8129999999999997</v>
      </c>
      <c r="T277">
        <v>5.4050000000000002</v>
      </c>
      <c r="U277">
        <v>4.95</v>
      </c>
      <c r="V277">
        <v>5.7530000000000001</v>
      </c>
      <c r="W277">
        <v>6.4420000000000002</v>
      </c>
      <c r="X277">
        <v>6.984</v>
      </c>
      <c r="Y277">
        <v>7.1349999999999998</v>
      </c>
      <c r="Z277">
        <v>7.5</v>
      </c>
      <c r="AA277">
        <v>7.7309999999999999</v>
      </c>
      <c r="AB277">
        <v>7.585</v>
      </c>
      <c r="AC277">
        <v>7.8369999999999997</v>
      </c>
      <c r="AD277">
        <v>8.4489999999999998</v>
      </c>
      <c r="AE277">
        <v>9.1519999999999992</v>
      </c>
      <c r="AF277">
        <v>9.7550000000000008</v>
      </c>
      <c r="AG277">
        <v>10.526999999999999</v>
      </c>
      <c r="AH277">
        <v>11.845000000000001</v>
      </c>
      <c r="AI277">
        <v>13</v>
      </c>
      <c r="AJ277">
        <v>14.189</v>
      </c>
      <c r="AK277">
        <v>15.35</v>
      </c>
      <c r="AL277">
        <v>16.428000000000001</v>
      </c>
      <c r="AM277">
        <v>17.045999999999999</v>
      </c>
      <c r="AN277">
        <v>18.222000000000001</v>
      </c>
      <c r="AO277">
        <v>19.606000000000002</v>
      </c>
      <c r="AP277">
        <v>20.402999999999999</v>
      </c>
      <c r="AQ277">
        <v>21.132999999999999</v>
      </c>
      <c r="AR277">
        <v>22.468</v>
      </c>
      <c r="AS277">
        <v>24.05</v>
      </c>
      <c r="AT277">
        <v>25.914000000000001</v>
      </c>
      <c r="AU277">
        <v>27.914000000000001</v>
      </c>
      <c r="AV277">
        <v>30.061</v>
      </c>
      <c r="AW277">
        <v>32.323999999999998</v>
      </c>
    </row>
    <row r="278" spans="1:49" x14ac:dyDescent="0.35">
      <c r="A278" t="s">
        <v>9</v>
      </c>
      <c r="B278" t="s">
        <v>45</v>
      </c>
      <c r="C278" t="s">
        <v>46</v>
      </c>
      <c r="D278" t="s">
        <v>47</v>
      </c>
      <c r="F278" t="s">
        <v>48</v>
      </c>
      <c r="G278">
        <v>0.46400000000000002</v>
      </c>
      <c r="H278">
        <v>0.54</v>
      </c>
      <c r="I278">
        <v>0.59199999999999997</v>
      </c>
      <c r="J278">
        <v>0.65800000000000003</v>
      </c>
      <c r="K278">
        <v>0.74199999999999999</v>
      </c>
      <c r="L278">
        <v>0.80900000000000005</v>
      </c>
      <c r="M278">
        <v>0.91600000000000004</v>
      </c>
      <c r="N278">
        <v>1.0509999999999999</v>
      </c>
      <c r="O278">
        <v>1.3580000000000001</v>
      </c>
      <c r="P278">
        <v>1.6459999999999999</v>
      </c>
      <c r="Q278">
        <v>1.7509999999999999</v>
      </c>
      <c r="R278">
        <v>2.1070000000000002</v>
      </c>
      <c r="S278">
        <v>2.387</v>
      </c>
      <c r="T278">
        <v>3.06</v>
      </c>
      <c r="U278">
        <v>3.923</v>
      </c>
      <c r="V278">
        <v>7.0220000000000002</v>
      </c>
      <c r="W278">
        <v>10.439</v>
      </c>
      <c r="X278">
        <v>12.282999999999999</v>
      </c>
      <c r="Y278">
        <v>15.096</v>
      </c>
      <c r="Z278">
        <v>20.986000000000001</v>
      </c>
      <c r="AA278">
        <v>27.611000000000001</v>
      </c>
      <c r="AB278">
        <v>34.253999999999998</v>
      </c>
      <c r="AC278">
        <v>42.12</v>
      </c>
      <c r="AD278">
        <v>46.478000000000002</v>
      </c>
      <c r="AE278">
        <v>53.378</v>
      </c>
      <c r="AF278">
        <v>59.112000000000002</v>
      </c>
      <c r="AG278">
        <v>70.915000000000006</v>
      </c>
      <c r="AH278">
        <v>73.822000000000003</v>
      </c>
      <c r="AI278">
        <v>82.655000000000001</v>
      </c>
      <c r="AJ278">
        <v>89.183999999999997</v>
      </c>
      <c r="AK278">
        <v>100</v>
      </c>
      <c r="AL278">
        <v>114.07599999999999</v>
      </c>
      <c r="AM278">
        <v>134.21700000000001</v>
      </c>
      <c r="AN278">
        <v>170.85900000000001</v>
      </c>
      <c r="AO278">
        <v>206.541</v>
      </c>
      <c r="AP278">
        <v>249.876</v>
      </c>
      <c r="AQ278">
        <v>299.20499999999998</v>
      </c>
      <c r="AR278">
        <v>335.71699999999998</v>
      </c>
      <c r="AS278">
        <v>364.41</v>
      </c>
      <c r="AT278">
        <v>390.46499999999997</v>
      </c>
      <c r="AU278">
        <v>417.70100000000002</v>
      </c>
      <c r="AV278">
        <v>438.92599999999999</v>
      </c>
      <c r="AW278">
        <v>454.27600000000001</v>
      </c>
    </row>
    <row r="279" spans="1:49" x14ac:dyDescent="0.35">
      <c r="A279" t="s">
        <v>9</v>
      </c>
      <c r="B279" t="s">
        <v>49</v>
      </c>
      <c r="C279" t="s">
        <v>50</v>
      </c>
      <c r="D279" t="s">
        <v>31</v>
      </c>
      <c r="E279" t="s">
        <v>26</v>
      </c>
      <c r="F279" t="s">
        <v>51</v>
      </c>
      <c r="G279" s="27">
        <v>57256.09</v>
      </c>
      <c r="H279" s="27">
        <v>52766.67</v>
      </c>
      <c r="I279" s="27">
        <v>52728.89</v>
      </c>
      <c r="J279" s="27">
        <v>53191.49</v>
      </c>
      <c r="K279" s="27">
        <v>54139.57</v>
      </c>
      <c r="L279" s="27">
        <v>54166.55</v>
      </c>
      <c r="M279" s="27">
        <v>51173.75</v>
      </c>
      <c r="N279" s="27">
        <v>48914.400000000001</v>
      </c>
      <c r="O279" s="27">
        <v>47513.38</v>
      </c>
      <c r="P279" s="27">
        <v>45750.76</v>
      </c>
      <c r="Q279" s="27">
        <v>46565.69</v>
      </c>
      <c r="R279" s="27">
        <v>49464.84</v>
      </c>
      <c r="S279" s="27">
        <v>45288.77</v>
      </c>
      <c r="T279" s="27">
        <v>49386.15</v>
      </c>
      <c r="U279" s="27">
        <v>43993.73</v>
      </c>
      <c r="V279" s="27">
        <v>49452.89</v>
      </c>
      <c r="W279" s="27">
        <v>53333.26</v>
      </c>
      <c r="X279" s="27">
        <v>55463.62</v>
      </c>
      <c r="Y279" s="27">
        <v>54533.19</v>
      </c>
      <c r="Z279" s="27">
        <v>54949.62</v>
      </c>
      <c r="AA279" s="27">
        <v>54015.56</v>
      </c>
      <c r="AB279" s="27">
        <v>50668.04</v>
      </c>
      <c r="AC279" s="27">
        <v>49669.5</v>
      </c>
      <c r="AD279" s="27">
        <v>51360.33</v>
      </c>
      <c r="AE279" s="27">
        <v>52986.22</v>
      </c>
      <c r="AF279" s="27">
        <v>53637.37</v>
      </c>
      <c r="AG279" s="27">
        <v>54606.49</v>
      </c>
      <c r="AH279" s="27">
        <v>58203.31</v>
      </c>
      <c r="AI279" s="27">
        <v>60933.71</v>
      </c>
      <c r="AJ279" s="27">
        <v>64160.51</v>
      </c>
      <c r="AK279" s="27">
        <v>66651.38</v>
      </c>
      <c r="AL279" s="27">
        <v>67930.289999999994</v>
      </c>
      <c r="AM279" s="27">
        <v>67273.83</v>
      </c>
      <c r="AN279" s="27">
        <v>68790.89</v>
      </c>
      <c r="AO279" s="27">
        <v>70676.490000000005</v>
      </c>
      <c r="AP279" s="27">
        <v>70724.58</v>
      </c>
      <c r="AQ279" s="27">
        <v>70305.240000000005</v>
      </c>
      <c r="AR279" s="27">
        <v>71412.3</v>
      </c>
      <c r="AS279" s="27">
        <v>72883.86</v>
      </c>
      <c r="AT279" s="27">
        <v>74739.960000000006</v>
      </c>
      <c r="AU279" s="27">
        <v>76643.33</v>
      </c>
      <c r="AV279" s="27">
        <v>78595.17</v>
      </c>
      <c r="AW279" s="27">
        <v>80596.72</v>
      </c>
    </row>
    <row r="280" spans="1:49" x14ac:dyDescent="0.35">
      <c r="A280" t="s">
        <v>9</v>
      </c>
      <c r="B280" t="s">
        <v>49</v>
      </c>
      <c r="C280" t="s">
        <v>52</v>
      </c>
      <c r="D280" t="s">
        <v>53</v>
      </c>
      <c r="E280" t="s">
        <v>26</v>
      </c>
      <c r="F280" t="s">
        <v>51</v>
      </c>
      <c r="G280">
        <v>856.49099999999999</v>
      </c>
      <c r="H280">
        <v>789.33399999999995</v>
      </c>
      <c r="I280">
        <v>788.76900000000001</v>
      </c>
      <c r="J280">
        <v>795.68899999999996</v>
      </c>
      <c r="K280">
        <v>809.87099999999998</v>
      </c>
      <c r="L280">
        <v>810.27499999999998</v>
      </c>
      <c r="M280">
        <v>765.50599999999997</v>
      </c>
      <c r="N280">
        <v>731.70799999999997</v>
      </c>
      <c r="O280">
        <v>710.75099999999998</v>
      </c>
      <c r="P280">
        <v>684.38400000000001</v>
      </c>
      <c r="Q280">
        <v>696.57399999999996</v>
      </c>
      <c r="R280">
        <v>739.94200000000001</v>
      </c>
      <c r="S280">
        <v>677.47299999999996</v>
      </c>
      <c r="T280">
        <v>738.76499999999999</v>
      </c>
      <c r="U280">
        <v>658.1</v>
      </c>
      <c r="V280">
        <v>739.76400000000001</v>
      </c>
      <c r="W280">
        <v>797.81</v>
      </c>
      <c r="X280">
        <v>829.678</v>
      </c>
      <c r="Y280">
        <v>815.75900000000001</v>
      </c>
      <c r="Z280">
        <v>821.98900000000003</v>
      </c>
      <c r="AA280">
        <v>808.01599999999996</v>
      </c>
      <c r="AB280">
        <v>757.94100000000003</v>
      </c>
      <c r="AC280">
        <v>743.00400000000002</v>
      </c>
      <c r="AD280">
        <v>768.29700000000003</v>
      </c>
      <c r="AE280">
        <v>792.61800000000005</v>
      </c>
      <c r="AF280">
        <v>802.35900000000004</v>
      </c>
      <c r="AG280">
        <v>816.85599999999999</v>
      </c>
      <c r="AH280">
        <v>870.66099999999994</v>
      </c>
      <c r="AI280">
        <v>911.505</v>
      </c>
      <c r="AJ280">
        <v>959.774</v>
      </c>
      <c r="AK280">
        <v>997.03499999999997</v>
      </c>
      <c r="AL280" s="27">
        <v>1016.17</v>
      </c>
      <c r="AM280" s="27">
        <v>1006.35</v>
      </c>
      <c r="AN280" s="27">
        <v>1029.04</v>
      </c>
      <c r="AO280" s="27">
        <v>1057.25</v>
      </c>
      <c r="AP280" s="27">
        <v>1057.97</v>
      </c>
      <c r="AQ280" s="27">
        <v>1051.69</v>
      </c>
      <c r="AR280" s="27">
        <v>1068.25</v>
      </c>
      <c r="AS280" s="27">
        <v>1090.27</v>
      </c>
      <c r="AT280" s="27">
        <v>1118.03</v>
      </c>
      <c r="AU280" s="27">
        <v>1146.5</v>
      </c>
      <c r="AV280" s="27">
        <v>1175.7</v>
      </c>
      <c r="AW280" s="27">
        <v>1205.6400000000001</v>
      </c>
    </row>
    <row r="281" spans="1:49" x14ac:dyDescent="0.35">
      <c r="A281" t="s">
        <v>9</v>
      </c>
      <c r="B281" t="s">
        <v>54</v>
      </c>
      <c r="C281" t="s">
        <v>55</v>
      </c>
      <c r="D281" t="s">
        <v>31</v>
      </c>
      <c r="E281" t="s">
        <v>26</v>
      </c>
      <c r="F281" t="s">
        <v>56</v>
      </c>
      <c r="G281">
        <v>265.54300000000001</v>
      </c>
      <c r="H281">
        <v>284.73399999999998</v>
      </c>
      <c r="I281">
        <v>311.98700000000002</v>
      </c>
      <c r="J281">
        <v>350.15199999999999</v>
      </c>
      <c r="K281">
        <v>401.86399999999998</v>
      </c>
      <c r="L281">
        <v>437.97199999999998</v>
      </c>
      <c r="M281">
        <v>468.541</v>
      </c>
      <c r="N281">
        <v>514.14700000000005</v>
      </c>
      <c r="O281">
        <v>645.26900000000001</v>
      </c>
      <c r="P281">
        <v>753.23299999999995</v>
      </c>
      <c r="Q281">
        <v>815.16700000000003</v>
      </c>
      <c r="R281" s="27">
        <v>1042.46</v>
      </c>
      <c r="S281" s="27">
        <v>1081.17</v>
      </c>
      <c r="T281" s="27">
        <v>1511.16</v>
      </c>
      <c r="U281" s="27">
        <v>1725.84</v>
      </c>
      <c r="V281" s="27">
        <v>3472.54</v>
      </c>
      <c r="W281" s="27">
        <v>5567.26</v>
      </c>
      <c r="X281" s="27">
        <v>6812.46</v>
      </c>
      <c r="Y281" s="27">
        <v>8232.14</v>
      </c>
      <c r="Z281" s="27">
        <v>11531.53</v>
      </c>
      <c r="AA281" s="27">
        <v>14914.24</v>
      </c>
      <c r="AB281" s="27">
        <v>17355.97</v>
      </c>
      <c r="AC281" s="27">
        <v>20920.900000000001</v>
      </c>
      <c r="AD281" s="27">
        <v>23871.25</v>
      </c>
      <c r="AE281" s="27">
        <v>28283.21</v>
      </c>
      <c r="AF281" s="27">
        <v>31706.080000000002</v>
      </c>
      <c r="AG281" s="27">
        <v>38724.17</v>
      </c>
      <c r="AH281" s="27">
        <v>42967.01</v>
      </c>
      <c r="AI281" s="27">
        <v>50364.67</v>
      </c>
      <c r="AJ281" s="27">
        <v>57221.19</v>
      </c>
      <c r="AK281" s="27">
        <v>66651.38</v>
      </c>
      <c r="AL281" s="27">
        <v>77491.990000000005</v>
      </c>
      <c r="AM281" s="27">
        <v>90292.98</v>
      </c>
      <c r="AN281" s="27">
        <v>117535.36</v>
      </c>
      <c r="AO281" s="27">
        <v>145975.60999999999</v>
      </c>
      <c r="AP281" s="27">
        <v>176723.67</v>
      </c>
      <c r="AQ281" s="27">
        <v>210356.85</v>
      </c>
      <c r="AR281" s="27">
        <v>239743.11</v>
      </c>
      <c r="AS281" s="27">
        <v>265596.38</v>
      </c>
      <c r="AT281" s="27">
        <v>291833.51</v>
      </c>
      <c r="AU281" s="27">
        <v>320139.58</v>
      </c>
      <c r="AV281" s="27">
        <v>344975</v>
      </c>
      <c r="AW281" s="27">
        <v>366131.78</v>
      </c>
    </row>
    <row r="282" spans="1:49" x14ac:dyDescent="0.35">
      <c r="A282" t="s">
        <v>9</v>
      </c>
      <c r="B282" t="s">
        <v>54</v>
      </c>
      <c r="C282" t="s">
        <v>57</v>
      </c>
      <c r="D282" t="s">
        <v>41</v>
      </c>
      <c r="E282" t="s">
        <v>26</v>
      </c>
      <c r="F282" t="s">
        <v>56</v>
      </c>
      <c r="G282">
        <v>326.983</v>
      </c>
      <c r="H282">
        <v>318.03199999999998</v>
      </c>
      <c r="I282">
        <v>295.58199999999999</v>
      </c>
      <c r="J282">
        <v>298.05200000000002</v>
      </c>
      <c r="K282">
        <v>284.32400000000001</v>
      </c>
      <c r="L282">
        <v>254.768</v>
      </c>
      <c r="M282">
        <v>251.755</v>
      </c>
      <c r="N282">
        <v>232.78299999999999</v>
      </c>
      <c r="O282">
        <v>251.93</v>
      </c>
      <c r="P282">
        <v>272.95999999999998</v>
      </c>
      <c r="Q282">
        <v>298.71600000000001</v>
      </c>
      <c r="R282">
        <v>371.86900000000003</v>
      </c>
      <c r="S282">
        <v>300.04899999999998</v>
      </c>
      <c r="T282">
        <v>343.226</v>
      </c>
      <c r="U282">
        <v>197.54599999999999</v>
      </c>
      <c r="V282">
        <v>227.197</v>
      </c>
      <c r="W282">
        <v>363.68200000000002</v>
      </c>
      <c r="X282">
        <v>414.35899999999998</v>
      </c>
      <c r="Y282">
        <v>264.97000000000003</v>
      </c>
      <c r="Z282">
        <v>261.55700000000002</v>
      </c>
      <c r="AA282">
        <v>250.46199999999999</v>
      </c>
      <c r="AB282">
        <v>240.39599999999999</v>
      </c>
      <c r="AC282">
        <v>272.82400000000001</v>
      </c>
      <c r="AD282">
        <v>245.14400000000001</v>
      </c>
      <c r="AE282">
        <v>259.72699999999998</v>
      </c>
      <c r="AF282">
        <v>267.78500000000003</v>
      </c>
      <c r="AG282">
        <v>284.72899999999998</v>
      </c>
      <c r="AH282">
        <v>306.89999999999998</v>
      </c>
      <c r="AI282">
        <v>358.416</v>
      </c>
      <c r="AJ282">
        <v>405.62</v>
      </c>
      <c r="AK282">
        <v>442.76499999999999</v>
      </c>
      <c r="AL282">
        <v>493.84300000000002</v>
      </c>
      <c r="AM282">
        <v>359.58800000000002</v>
      </c>
      <c r="AN282">
        <v>317.471</v>
      </c>
      <c r="AO282">
        <v>343.97899999999998</v>
      </c>
      <c r="AP282">
        <v>353.72800000000001</v>
      </c>
      <c r="AQ282">
        <v>294.58800000000002</v>
      </c>
      <c r="AR282">
        <v>326.60899999999998</v>
      </c>
      <c r="AS282">
        <v>341.66699999999997</v>
      </c>
      <c r="AT282">
        <v>350.762</v>
      </c>
      <c r="AU282">
        <v>366.12099999999998</v>
      </c>
      <c r="AV282">
        <v>382.93900000000002</v>
      </c>
      <c r="AW282">
        <v>401.67399999999998</v>
      </c>
    </row>
    <row r="283" spans="1:49" x14ac:dyDescent="0.35">
      <c r="A283" t="s">
        <v>9</v>
      </c>
      <c r="B283" t="s">
        <v>54</v>
      </c>
      <c r="C283" t="s">
        <v>58</v>
      </c>
      <c r="D283" t="s">
        <v>44</v>
      </c>
      <c r="E283" t="s">
        <v>26</v>
      </c>
      <c r="F283" t="s">
        <v>56</v>
      </c>
      <c r="G283">
        <v>367.90100000000001</v>
      </c>
      <c r="H283">
        <v>370.71199999999999</v>
      </c>
      <c r="I283">
        <v>393.43099999999998</v>
      </c>
      <c r="J283">
        <v>412.55</v>
      </c>
      <c r="K283">
        <v>434.80500000000001</v>
      </c>
      <c r="L283">
        <v>448.94299999999998</v>
      </c>
      <c r="M283">
        <v>432.68900000000002</v>
      </c>
      <c r="N283">
        <v>424.14100000000002</v>
      </c>
      <c r="O283">
        <v>426.41500000000002</v>
      </c>
      <c r="P283">
        <v>426.56299999999999</v>
      </c>
      <c r="Q283">
        <v>450.21899999999999</v>
      </c>
      <c r="R283">
        <v>494.16800000000001</v>
      </c>
      <c r="S283">
        <v>462.762</v>
      </c>
      <c r="T283">
        <v>516.63400000000001</v>
      </c>
      <c r="U283">
        <v>470.01900000000001</v>
      </c>
      <c r="V283">
        <v>539.36199999999997</v>
      </c>
      <c r="W283">
        <v>592.29999999999995</v>
      </c>
      <c r="X283">
        <v>626.505</v>
      </c>
      <c r="Y283">
        <v>622.67899999999997</v>
      </c>
      <c r="Z283">
        <v>637.03700000000003</v>
      </c>
      <c r="AA283">
        <v>640.45600000000002</v>
      </c>
      <c r="AB283">
        <v>614.45600000000002</v>
      </c>
      <c r="AC283">
        <v>611.59400000000005</v>
      </c>
      <c r="AD283">
        <v>645.024</v>
      </c>
      <c r="AE283">
        <v>683.74199999999996</v>
      </c>
      <c r="AF283">
        <v>714.41300000000001</v>
      </c>
      <c r="AG283">
        <v>749.67</v>
      </c>
      <c r="AH283">
        <v>820.31100000000004</v>
      </c>
      <c r="AI283">
        <v>875.64</v>
      </c>
      <c r="AJ283">
        <v>929.01199999999994</v>
      </c>
      <c r="AK283">
        <v>976.87</v>
      </c>
      <c r="AL283" s="27">
        <v>1016.17</v>
      </c>
      <c r="AM283" s="27">
        <v>1024.8800000000001</v>
      </c>
      <c r="AN283" s="27">
        <v>1064.92</v>
      </c>
      <c r="AO283" s="27">
        <v>1113.75</v>
      </c>
      <c r="AP283" s="27">
        <v>1126.5899999999999</v>
      </c>
      <c r="AQ283" s="27">
        <v>1134.2</v>
      </c>
      <c r="AR283" s="27">
        <v>1172.1300000000001</v>
      </c>
      <c r="AS283" s="27">
        <v>1219.5</v>
      </c>
      <c r="AT283" s="27">
        <v>1277.24</v>
      </c>
      <c r="AU283" s="27">
        <v>1337.32</v>
      </c>
      <c r="AV283" s="27">
        <v>1399.86</v>
      </c>
      <c r="AW283" s="27">
        <v>1463.13</v>
      </c>
    </row>
    <row r="284" spans="1:49" x14ac:dyDescent="0.35">
      <c r="A284" t="s">
        <v>9</v>
      </c>
      <c r="B284" t="s">
        <v>59</v>
      </c>
      <c r="C284" t="s">
        <v>60</v>
      </c>
      <c r="D284" t="s">
        <v>61</v>
      </c>
    </row>
    <row r="285" spans="1:49" x14ac:dyDescent="0.35">
      <c r="A285" t="s">
        <v>9</v>
      </c>
      <c r="B285" t="s">
        <v>62</v>
      </c>
      <c r="C285" t="s">
        <v>63</v>
      </c>
      <c r="D285" t="s">
        <v>64</v>
      </c>
      <c r="F285" t="s">
        <v>42</v>
      </c>
      <c r="G285">
        <v>1.7999999999999999E-2</v>
      </c>
      <c r="H285">
        <v>1.7000000000000001E-2</v>
      </c>
      <c r="I285">
        <v>1.7000000000000001E-2</v>
      </c>
      <c r="J285">
        <v>1.7999999999999999E-2</v>
      </c>
      <c r="K285">
        <v>1.7999999999999999E-2</v>
      </c>
      <c r="L285">
        <v>1.7999999999999999E-2</v>
      </c>
      <c r="M285">
        <v>1.7000000000000001E-2</v>
      </c>
      <c r="N285">
        <v>1.7000000000000001E-2</v>
      </c>
      <c r="O285">
        <v>1.7000000000000001E-2</v>
      </c>
      <c r="P285">
        <v>1.6E-2</v>
      </c>
      <c r="Q285">
        <v>1.7000000000000001E-2</v>
      </c>
      <c r="R285">
        <v>1.7999999999999999E-2</v>
      </c>
      <c r="S285">
        <v>1.4999999999999999E-2</v>
      </c>
      <c r="T285">
        <v>1.6E-2</v>
      </c>
      <c r="U285">
        <v>1.4E-2</v>
      </c>
      <c r="V285">
        <v>1.4999999999999999E-2</v>
      </c>
      <c r="W285">
        <v>1.6E-2</v>
      </c>
      <c r="X285">
        <v>1.6E-2</v>
      </c>
      <c r="Y285">
        <v>1.6E-2</v>
      </c>
      <c r="Z285">
        <v>1.6E-2</v>
      </c>
      <c r="AA285">
        <v>1.4999999999999999E-2</v>
      </c>
      <c r="AB285">
        <v>1.4999999999999999E-2</v>
      </c>
      <c r="AC285">
        <v>1.4E-2</v>
      </c>
      <c r="AD285">
        <v>1.4999999999999999E-2</v>
      </c>
      <c r="AE285">
        <v>1.4999999999999999E-2</v>
      </c>
      <c r="AF285">
        <v>1.4E-2</v>
      </c>
      <c r="AG285">
        <v>1.4E-2</v>
      </c>
      <c r="AH285">
        <v>1.4999999999999999E-2</v>
      </c>
      <c r="AI285">
        <v>1.6E-2</v>
      </c>
      <c r="AJ285">
        <v>1.7000000000000001E-2</v>
      </c>
      <c r="AK285">
        <v>1.7000000000000001E-2</v>
      </c>
      <c r="AL285">
        <v>1.7000000000000001E-2</v>
      </c>
      <c r="AM285">
        <v>1.7000000000000001E-2</v>
      </c>
      <c r="AN285">
        <v>1.7000000000000001E-2</v>
      </c>
      <c r="AO285">
        <v>1.7999999999999999E-2</v>
      </c>
      <c r="AP285">
        <v>1.7999999999999999E-2</v>
      </c>
      <c r="AQ285">
        <v>1.7999999999999999E-2</v>
      </c>
      <c r="AR285">
        <v>1.7999999999999999E-2</v>
      </c>
      <c r="AS285">
        <v>1.7999999999999999E-2</v>
      </c>
      <c r="AT285">
        <v>1.7999999999999999E-2</v>
      </c>
      <c r="AU285">
        <v>1.9E-2</v>
      </c>
      <c r="AV285">
        <v>1.9E-2</v>
      </c>
      <c r="AW285">
        <v>1.9E-2</v>
      </c>
    </row>
    <row r="286" spans="1:49" x14ac:dyDescent="0.35">
      <c r="A286" t="s">
        <v>9</v>
      </c>
      <c r="B286" t="s">
        <v>65</v>
      </c>
      <c r="C286" t="s">
        <v>66</v>
      </c>
      <c r="D286" t="s">
        <v>67</v>
      </c>
      <c r="F286" t="s">
        <v>42</v>
      </c>
      <c r="G286">
        <v>0.72199999999999998</v>
      </c>
      <c r="H286">
        <v>0.76800000000000002</v>
      </c>
      <c r="I286">
        <v>0.79300000000000004</v>
      </c>
      <c r="J286">
        <v>0.84899999999999998</v>
      </c>
      <c r="K286">
        <v>0.92400000000000004</v>
      </c>
      <c r="L286">
        <v>0.97599999999999998</v>
      </c>
      <c r="M286">
        <v>1.083</v>
      </c>
      <c r="N286">
        <v>1.212</v>
      </c>
      <c r="O286">
        <v>1.5129999999999999</v>
      </c>
      <c r="P286">
        <v>1.766</v>
      </c>
      <c r="Q286">
        <v>1.8109999999999999</v>
      </c>
      <c r="R286">
        <v>2.11</v>
      </c>
      <c r="S286">
        <v>2.3359999999999999</v>
      </c>
      <c r="T286">
        <v>2.9249999999999998</v>
      </c>
      <c r="U286">
        <v>3.6720000000000002</v>
      </c>
      <c r="V286">
        <v>6.4379999999999997</v>
      </c>
      <c r="W286">
        <v>9.3989999999999991</v>
      </c>
      <c r="X286">
        <v>10.874000000000001</v>
      </c>
      <c r="Y286">
        <v>13.221</v>
      </c>
      <c r="Z286">
        <v>18.102</v>
      </c>
      <c r="AA286">
        <v>23.286999999999999</v>
      </c>
      <c r="AB286">
        <v>28.245999999999999</v>
      </c>
      <c r="AC286">
        <v>34.207000000000001</v>
      </c>
      <c r="AD286">
        <v>37.008000000000003</v>
      </c>
      <c r="AE286">
        <v>41.365000000000002</v>
      </c>
      <c r="AF286">
        <v>44.381</v>
      </c>
      <c r="AG286">
        <v>51.655000000000001</v>
      </c>
      <c r="AH286">
        <v>52.378999999999998</v>
      </c>
      <c r="AI286">
        <v>57.518000000000001</v>
      </c>
      <c r="AJ286">
        <v>61.594000000000001</v>
      </c>
      <c r="AK286">
        <v>68.23</v>
      </c>
      <c r="AL286">
        <v>76.259</v>
      </c>
      <c r="AM286">
        <v>88.100999999999999</v>
      </c>
      <c r="AN286">
        <v>110.37</v>
      </c>
      <c r="AO286">
        <v>131.06700000000001</v>
      </c>
      <c r="AP286">
        <v>156.86600000000001</v>
      </c>
      <c r="AQ286">
        <v>185.46700000000001</v>
      </c>
      <c r="AR286">
        <v>204.53700000000001</v>
      </c>
      <c r="AS286">
        <v>217.791</v>
      </c>
      <c r="AT286">
        <v>228.48699999999999</v>
      </c>
      <c r="AU286">
        <v>239.38900000000001</v>
      </c>
      <c r="AV286">
        <v>246.43600000000001</v>
      </c>
      <c r="AW286">
        <v>250.239</v>
      </c>
    </row>
    <row r="287" spans="1:49" x14ac:dyDescent="0.35">
      <c r="A287" t="s">
        <v>9</v>
      </c>
      <c r="B287" t="s">
        <v>68</v>
      </c>
      <c r="C287" t="s">
        <v>69</v>
      </c>
      <c r="D287" t="s">
        <v>70</v>
      </c>
      <c r="F287" t="s">
        <v>163</v>
      </c>
      <c r="G287">
        <v>12.231</v>
      </c>
      <c r="H287">
        <v>8.7739999999999991</v>
      </c>
      <c r="I287">
        <v>11.004</v>
      </c>
      <c r="J287">
        <v>11.885999999999999</v>
      </c>
      <c r="K287">
        <v>6.23</v>
      </c>
      <c r="L287">
        <v>9.4969999999999999</v>
      </c>
      <c r="M287">
        <v>5.9660000000000002</v>
      </c>
      <c r="N287">
        <v>7.7809999999999997</v>
      </c>
      <c r="O287">
        <v>9.3989999999999991</v>
      </c>
      <c r="P287">
        <v>10.673999999999999</v>
      </c>
      <c r="Q287">
        <v>10.257999999999999</v>
      </c>
      <c r="R287">
        <v>10.109</v>
      </c>
      <c r="S287">
        <v>9.9209999999999994</v>
      </c>
      <c r="T287">
        <v>7.5579999999999998</v>
      </c>
      <c r="U287">
        <v>14.106999999999999</v>
      </c>
      <c r="V287">
        <v>8.6690000000000005</v>
      </c>
      <c r="W287">
        <v>6.2140000000000004</v>
      </c>
      <c r="X287">
        <v>5.8339999999999996</v>
      </c>
      <c r="Y287">
        <v>6.7460000000000004</v>
      </c>
      <c r="Z287">
        <v>7.2910000000000004</v>
      </c>
      <c r="AA287">
        <v>6.6269999999999998</v>
      </c>
      <c r="AB287">
        <v>7.4390000000000001</v>
      </c>
      <c r="AC287">
        <v>12.304</v>
      </c>
      <c r="AD287">
        <v>12.922000000000001</v>
      </c>
      <c r="AE287">
        <v>13.755000000000001</v>
      </c>
      <c r="AF287">
        <v>17.094999999999999</v>
      </c>
      <c r="AG287">
        <v>20.013999999999999</v>
      </c>
      <c r="AH287">
        <v>23.068999999999999</v>
      </c>
      <c r="AI287">
        <v>23.228999999999999</v>
      </c>
      <c r="AJ287">
        <v>24.463000000000001</v>
      </c>
      <c r="AK287">
        <v>22.823</v>
      </c>
      <c r="AL287">
        <v>12.444000000000001</v>
      </c>
      <c r="AM287">
        <v>12.067</v>
      </c>
      <c r="AN287">
        <v>12.718</v>
      </c>
      <c r="AO287">
        <v>12.004</v>
      </c>
      <c r="AP287">
        <v>12.172000000000001</v>
      </c>
      <c r="AQ287">
        <v>10.201000000000001</v>
      </c>
      <c r="AR287">
        <v>11.599</v>
      </c>
      <c r="AS287">
        <v>12.548</v>
      </c>
      <c r="AT287">
        <v>13.331</v>
      </c>
      <c r="AU287">
        <v>14.01</v>
      </c>
      <c r="AV287">
        <v>13.019</v>
      </c>
      <c r="AW287">
        <v>11.849</v>
      </c>
    </row>
    <row r="288" spans="1:49" x14ac:dyDescent="0.35">
      <c r="A288" t="s">
        <v>9</v>
      </c>
      <c r="B288" t="s">
        <v>71</v>
      </c>
      <c r="C288" t="s">
        <v>72</v>
      </c>
      <c r="D288" t="s">
        <v>70</v>
      </c>
      <c r="F288" t="s">
        <v>163</v>
      </c>
      <c r="G288">
        <v>4.6210000000000004</v>
      </c>
      <c r="H288">
        <v>6.1239999999999997</v>
      </c>
      <c r="I288">
        <v>7.8890000000000002</v>
      </c>
      <c r="J288">
        <v>8.2460000000000004</v>
      </c>
      <c r="K288">
        <v>7.6120000000000001</v>
      </c>
      <c r="L288">
        <v>7.04</v>
      </c>
      <c r="M288">
        <v>5.0259999999999998</v>
      </c>
      <c r="N288">
        <v>7.5430000000000001</v>
      </c>
      <c r="O288">
        <v>10.025</v>
      </c>
      <c r="P288">
        <v>6.9710000000000001</v>
      </c>
      <c r="Q288">
        <v>9.7360000000000007</v>
      </c>
      <c r="R288">
        <v>7.6529999999999996</v>
      </c>
      <c r="S288">
        <v>4.2930000000000001</v>
      </c>
      <c r="T288">
        <v>3.6589999999999998</v>
      </c>
      <c r="U288">
        <v>2.718</v>
      </c>
      <c r="V288">
        <v>4.1239999999999997</v>
      </c>
      <c r="W288">
        <v>2.73</v>
      </c>
      <c r="X288">
        <v>0.14199999999999999</v>
      </c>
      <c r="Y288">
        <v>7.5170000000000003</v>
      </c>
      <c r="Z288">
        <v>3.6579999999999999</v>
      </c>
      <c r="AA288">
        <v>6.6260000000000003</v>
      </c>
      <c r="AB288">
        <v>3.5019999999999998</v>
      </c>
      <c r="AC288">
        <v>5.8029999999999999</v>
      </c>
      <c r="AD288">
        <v>4.1580000000000004</v>
      </c>
      <c r="AE288">
        <v>5.3179999999999996</v>
      </c>
      <c r="AF288">
        <v>8.093</v>
      </c>
      <c r="AG288">
        <v>11.241</v>
      </c>
      <c r="AH288">
        <v>23.875</v>
      </c>
      <c r="AI288">
        <v>15.432</v>
      </c>
      <c r="AJ288">
        <v>20.523</v>
      </c>
      <c r="AK288">
        <v>26.25</v>
      </c>
      <c r="AL288">
        <v>3.8319999999999999</v>
      </c>
      <c r="AM288">
        <v>2.8090000000000002</v>
      </c>
      <c r="AN288">
        <v>4.3099999999999996</v>
      </c>
      <c r="AO288">
        <v>3.6419999999999999</v>
      </c>
      <c r="AP288">
        <v>2.6779999999999999</v>
      </c>
      <c r="AQ288">
        <v>-3.2690000000000001</v>
      </c>
      <c r="AR288">
        <v>2.52</v>
      </c>
      <c r="AS288">
        <v>4.4960000000000004</v>
      </c>
      <c r="AT288">
        <v>5.5129999999999999</v>
      </c>
      <c r="AU288">
        <v>6.2069999999999999</v>
      </c>
      <c r="AV288">
        <v>5.3390000000000004</v>
      </c>
      <c r="AW288">
        <v>4.4729999999999999</v>
      </c>
    </row>
    <row r="289" spans="1:49" x14ac:dyDescent="0.35">
      <c r="A289" t="s">
        <v>9</v>
      </c>
      <c r="B289" t="s">
        <v>73</v>
      </c>
      <c r="C289" t="s">
        <v>74</v>
      </c>
      <c r="D289" t="s">
        <v>47</v>
      </c>
      <c r="F289" t="s">
        <v>164</v>
      </c>
      <c r="G289">
        <v>1.522</v>
      </c>
      <c r="H289">
        <v>1.7050000000000001</v>
      </c>
      <c r="I289">
        <v>1.867</v>
      </c>
      <c r="J289">
        <v>2.1240000000000001</v>
      </c>
      <c r="K289">
        <v>2.544</v>
      </c>
      <c r="L289">
        <v>2.8149999999999999</v>
      </c>
      <c r="M289">
        <v>3.214</v>
      </c>
      <c r="N289">
        <v>4.0190000000000001</v>
      </c>
      <c r="O289">
        <v>5.3789999999999996</v>
      </c>
      <c r="P289">
        <v>6.0490000000000004</v>
      </c>
      <c r="Q289">
        <v>6.766</v>
      </c>
      <c r="R289">
        <v>7.3220000000000001</v>
      </c>
      <c r="S289">
        <v>9.0239999999999991</v>
      </c>
      <c r="T289">
        <v>11.079000000000001</v>
      </c>
      <c r="U289">
        <v>14.919</v>
      </c>
      <c r="V289">
        <v>27.324000000000002</v>
      </c>
      <c r="W289">
        <v>37.634</v>
      </c>
      <c r="X289">
        <v>41.073</v>
      </c>
      <c r="Y289">
        <v>53.304000000000002</v>
      </c>
      <c r="Z289">
        <v>77.162000000000006</v>
      </c>
      <c r="AA289">
        <v>100</v>
      </c>
      <c r="AB289">
        <v>122.7</v>
      </c>
      <c r="AC289">
        <v>140.80000000000001</v>
      </c>
      <c r="AD289">
        <v>154.30000000000001</v>
      </c>
      <c r="AE289">
        <v>172</v>
      </c>
      <c r="AF289">
        <v>198.5</v>
      </c>
      <c r="AG289">
        <v>226.1</v>
      </c>
      <c r="AH289">
        <v>244.1</v>
      </c>
      <c r="AI289">
        <v>265.37700000000001</v>
      </c>
      <c r="AJ289">
        <v>287.71199999999999</v>
      </c>
      <c r="AK289">
        <v>309.029</v>
      </c>
      <c r="AL289">
        <v>332.58</v>
      </c>
      <c r="AM289">
        <v>403.40499999999997</v>
      </c>
      <c r="AN289">
        <v>517.48400000000004</v>
      </c>
      <c r="AO289">
        <v>640.51700000000005</v>
      </c>
      <c r="AP289">
        <v>780.52200000000005</v>
      </c>
      <c r="AQ289">
        <v>950.10299999999995</v>
      </c>
      <c r="AR289" s="27">
        <v>1073.3</v>
      </c>
      <c r="AS289" s="27">
        <v>1176.75</v>
      </c>
      <c r="AT289" s="27">
        <v>1271.98</v>
      </c>
      <c r="AU289" s="27">
        <v>1370.76</v>
      </c>
      <c r="AV289" s="27">
        <v>1448.52</v>
      </c>
      <c r="AW289" s="27">
        <v>1504.94</v>
      </c>
    </row>
    <row r="290" spans="1:49" x14ac:dyDescent="0.35">
      <c r="A290" t="s">
        <v>9</v>
      </c>
      <c r="B290" t="s">
        <v>73</v>
      </c>
      <c r="C290" t="s">
        <v>76</v>
      </c>
      <c r="D290" t="s">
        <v>35</v>
      </c>
      <c r="F290" t="s">
        <v>77</v>
      </c>
      <c r="G290">
        <v>19.190000000000001</v>
      </c>
      <c r="H290">
        <v>12</v>
      </c>
      <c r="I290">
        <v>9.5239999999999991</v>
      </c>
      <c r="J290">
        <v>13.768000000000001</v>
      </c>
      <c r="K290">
        <v>19.745000000000001</v>
      </c>
      <c r="L290">
        <v>10.638</v>
      </c>
      <c r="M290">
        <v>14.183</v>
      </c>
      <c r="N290">
        <v>25.053000000000001</v>
      </c>
      <c r="O290">
        <v>33.838000000000001</v>
      </c>
      <c r="P290">
        <v>12.452999999999999</v>
      </c>
      <c r="Q290">
        <v>11.856999999999999</v>
      </c>
      <c r="R290">
        <v>8.2270000000000003</v>
      </c>
      <c r="S290">
        <v>23.236000000000001</v>
      </c>
      <c r="T290">
        <v>22.774999999999999</v>
      </c>
      <c r="U290">
        <v>34.658999999999999</v>
      </c>
      <c r="V290">
        <v>83.147999999999996</v>
      </c>
      <c r="W290">
        <v>37.732999999999997</v>
      </c>
      <c r="X290">
        <v>9.1370000000000005</v>
      </c>
      <c r="Y290">
        <v>29.779</v>
      </c>
      <c r="Z290">
        <v>44.759</v>
      </c>
      <c r="AA290">
        <v>29.597000000000001</v>
      </c>
      <c r="AB290">
        <v>22.7</v>
      </c>
      <c r="AC290">
        <v>14.750999999999999</v>
      </c>
      <c r="AD290">
        <v>9.5879999999999992</v>
      </c>
      <c r="AE290">
        <v>11.471</v>
      </c>
      <c r="AF290">
        <v>15.407</v>
      </c>
      <c r="AG290">
        <v>13.904</v>
      </c>
      <c r="AH290">
        <v>7.9610000000000003</v>
      </c>
      <c r="AI290">
        <v>8.7159999999999993</v>
      </c>
      <c r="AJ290">
        <v>8.4160000000000004</v>
      </c>
      <c r="AK290">
        <v>7.4089999999999998</v>
      </c>
      <c r="AL290">
        <v>7.6210000000000004</v>
      </c>
      <c r="AM290">
        <v>21.295999999999999</v>
      </c>
      <c r="AN290">
        <v>28.279</v>
      </c>
      <c r="AO290">
        <v>23.774999999999999</v>
      </c>
      <c r="AP290">
        <v>21.858000000000001</v>
      </c>
      <c r="AQ290">
        <v>21.727</v>
      </c>
      <c r="AR290">
        <v>12.965999999999999</v>
      </c>
      <c r="AS290">
        <v>9.6379999999999999</v>
      </c>
      <c r="AT290">
        <v>8.093</v>
      </c>
      <c r="AU290">
        <v>7.7649999999999997</v>
      </c>
      <c r="AV290">
        <v>5.673</v>
      </c>
      <c r="AW290">
        <v>3.895</v>
      </c>
    </row>
    <row r="291" spans="1:49" x14ac:dyDescent="0.35">
      <c r="A291" t="s">
        <v>9</v>
      </c>
      <c r="B291" t="s">
        <v>78</v>
      </c>
      <c r="C291" t="s">
        <v>79</v>
      </c>
      <c r="D291" t="s">
        <v>47</v>
      </c>
      <c r="F291" t="s">
        <v>164</v>
      </c>
      <c r="G291">
        <v>0.37</v>
      </c>
      <c r="H291">
        <v>0.40300000000000002</v>
      </c>
      <c r="I291">
        <v>0.45400000000000001</v>
      </c>
      <c r="J291">
        <v>0.53800000000000003</v>
      </c>
      <c r="K291">
        <v>0.60299999999999998</v>
      </c>
      <c r="L291">
        <v>0.66900000000000004</v>
      </c>
      <c r="M291">
        <v>0.76200000000000001</v>
      </c>
      <c r="N291">
        <v>1.0329999999999999</v>
      </c>
      <c r="O291">
        <v>1.3049999999999999</v>
      </c>
      <c r="P291">
        <v>1.292</v>
      </c>
      <c r="Q291">
        <v>1.5920000000000001</v>
      </c>
      <c r="R291">
        <v>1.71</v>
      </c>
      <c r="S291">
        <v>2.3260000000000001</v>
      </c>
      <c r="T291">
        <v>2.7519999999999998</v>
      </c>
      <c r="U291">
        <v>4.5679999999999996</v>
      </c>
      <c r="V291">
        <v>7.992</v>
      </c>
      <c r="W291">
        <v>8.5269999999999992</v>
      </c>
      <c r="X291">
        <v>9.82</v>
      </c>
      <c r="Y291">
        <v>15.039</v>
      </c>
      <c r="Z291">
        <v>19.285</v>
      </c>
      <c r="AA291">
        <v>26.12</v>
      </c>
      <c r="AB291">
        <v>31.898</v>
      </c>
      <c r="AC291">
        <v>35.56</v>
      </c>
      <c r="AD291">
        <v>39.052999999999997</v>
      </c>
      <c r="AE291">
        <v>44.402000000000001</v>
      </c>
      <c r="AF291">
        <v>51.755000000000003</v>
      </c>
      <c r="AG291">
        <v>57.002000000000002</v>
      </c>
      <c r="AH291">
        <v>61.29</v>
      </c>
      <c r="AI291">
        <v>67.385000000000005</v>
      </c>
      <c r="AJ291">
        <v>72.492999999999995</v>
      </c>
      <c r="AK291">
        <v>77.039000000000001</v>
      </c>
      <c r="AL291">
        <v>84.587000000000003</v>
      </c>
      <c r="AM291">
        <v>113.83499999999999</v>
      </c>
      <c r="AN291">
        <v>140.58600000000001</v>
      </c>
      <c r="AO291">
        <v>174.541</v>
      </c>
      <c r="AP291">
        <v>217.923</v>
      </c>
      <c r="AQ291">
        <v>261.44</v>
      </c>
      <c r="AR291">
        <v>290.565</v>
      </c>
      <c r="AS291">
        <v>314.76400000000001</v>
      </c>
      <c r="AT291">
        <v>339.98099999999999</v>
      </c>
      <c r="AU291">
        <v>366.69200000000001</v>
      </c>
      <c r="AV291">
        <v>381.351</v>
      </c>
      <c r="AW291">
        <v>389.82</v>
      </c>
    </row>
    <row r="292" spans="1:49" x14ac:dyDescent="0.35">
      <c r="A292" t="s">
        <v>9</v>
      </c>
      <c r="B292" t="s">
        <v>78</v>
      </c>
      <c r="C292" t="s">
        <v>80</v>
      </c>
      <c r="D292" t="s">
        <v>35</v>
      </c>
      <c r="F292" t="s">
        <v>81</v>
      </c>
      <c r="G292" t="s">
        <v>82</v>
      </c>
      <c r="H292">
        <v>8.9979999999999993</v>
      </c>
      <c r="I292">
        <v>12.510999999999999</v>
      </c>
      <c r="J292">
        <v>18.608000000000001</v>
      </c>
      <c r="K292">
        <v>11.926</v>
      </c>
      <c r="L292">
        <v>11.054</v>
      </c>
      <c r="M292">
        <v>13.853</v>
      </c>
      <c r="N292">
        <v>35.511000000000003</v>
      </c>
      <c r="O292">
        <v>26.372</v>
      </c>
      <c r="P292">
        <v>-0.97399999999999998</v>
      </c>
      <c r="Q292">
        <v>23.2</v>
      </c>
      <c r="R292">
        <v>7.3879999999999999</v>
      </c>
      <c r="S292">
        <v>36.090000000000003</v>
      </c>
      <c r="T292">
        <v>18.309000000000001</v>
      </c>
      <c r="U292">
        <v>65.965000000000003</v>
      </c>
      <c r="V292">
        <v>74.95</v>
      </c>
      <c r="W292">
        <v>6.7</v>
      </c>
      <c r="X292">
        <v>15.16</v>
      </c>
      <c r="Y292">
        <v>53.146000000000001</v>
      </c>
      <c r="Z292">
        <v>28.231000000000002</v>
      </c>
      <c r="AA292">
        <v>35.445</v>
      </c>
      <c r="AB292">
        <v>22.120999999999999</v>
      </c>
      <c r="AC292">
        <v>11.48</v>
      </c>
      <c r="AD292">
        <v>9.8239999999999998</v>
      </c>
      <c r="AE292">
        <v>13.695</v>
      </c>
      <c r="AF292">
        <v>16.561</v>
      </c>
      <c r="AG292">
        <v>10.138</v>
      </c>
      <c r="AH292">
        <v>7.5229999999999997</v>
      </c>
      <c r="AI292">
        <v>9.9450000000000003</v>
      </c>
      <c r="AJ292">
        <v>7.58</v>
      </c>
      <c r="AK292">
        <v>6.27</v>
      </c>
      <c r="AL292">
        <v>9.798</v>
      </c>
      <c r="AM292">
        <v>34.576999999999998</v>
      </c>
      <c r="AN292">
        <v>23.5</v>
      </c>
      <c r="AO292">
        <v>24.152000000000001</v>
      </c>
      <c r="AP292">
        <v>24.855</v>
      </c>
      <c r="AQ292">
        <v>19.969000000000001</v>
      </c>
      <c r="AR292">
        <v>11.14</v>
      </c>
      <c r="AS292">
        <v>8.3279999999999994</v>
      </c>
      <c r="AT292">
        <v>8.0120000000000005</v>
      </c>
      <c r="AU292">
        <v>7.8570000000000002</v>
      </c>
      <c r="AV292">
        <v>3.9980000000000002</v>
      </c>
      <c r="AW292">
        <v>2.2210000000000001</v>
      </c>
    </row>
    <row r="293" spans="1:49" x14ac:dyDescent="0.35">
      <c r="A293" t="s">
        <v>9</v>
      </c>
      <c r="B293" t="s">
        <v>83</v>
      </c>
      <c r="D293" t="s">
        <v>64</v>
      </c>
    </row>
    <row r="294" spans="1:49" x14ac:dyDescent="0.35">
      <c r="A294" t="s">
        <v>9</v>
      </c>
      <c r="B294" t="s">
        <v>84</v>
      </c>
      <c r="C294" t="s">
        <v>85</v>
      </c>
      <c r="D294" t="s">
        <v>35</v>
      </c>
      <c r="F294" t="s">
        <v>165</v>
      </c>
      <c r="G294">
        <v>13.984</v>
      </c>
      <c r="H294">
        <v>-22.402000000000001</v>
      </c>
      <c r="I294">
        <v>-4.5890000000000004</v>
      </c>
      <c r="J294">
        <v>1.7929999999999999</v>
      </c>
      <c r="K294">
        <v>-6.5289999999999999</v>
      </c>
      <c r="L294">
        <v>21.783000000000001</v>
      </c>
      <c r="M294">
        <v>-26.189</v>
      </c>
      <c r="N294">
        <v>-2.863</v>
      </c>
      <c r="O294">
        <v>20.579000000000001</v>
      </c>
      <c r="P294">
        <v>21.257000000000001</v>
      </c>
      <c r="Q294">
        <v>2.952</v>
      </c>
      <c r="R294">
        <v>-0.441</v>
      </c>
      <c r="S294">
        <v>14.965999999999999</v>
      </c>
      <c r="T294">
        <v>-7.7809999999999997</v>
      </c>
      <c r="U294">
        <v>10.965999999999999</v>
      </c>
      <c r="V294">
        <v>-11.183999999999999</v>
      </c>
      <c r="W294">
        <v>9.7059999999999995</v>
      </c>
      <c r="X294">
        <v>22.946999999999999</v>
      </c>
      <c r="Y294">
        <v>-19.295000000000002</v>
      </c>
      <c r="Z294">
        <v>14.33</v>
      </c>
      <c r="AA294">
        <v>-21.678999999999998</v>
      </c>
      <c r="AB294">
        <v>-4.8520000000000003</v>
      </c>
      <c r="AC294">
        <v>12.738</v>
      </c>
      <c r="AD294">
        <v>6.1769999999999996</v>
      </c>
      <c r="AE294">
        <v>11.973000000000001</v>
      </c>
      <c r="AF294">
        <v>4.3639999999999999</v>
      </c>
      <c r="AG294">
        <v>6.3040000000000003</v>
      </c>
      <c r="AH294">
        <v>-10.377000000000001</v>
      </c>
      <c r="AI294">
        <v>37.561</v>
      </c>
      <c r="AJ294">
        <v>-18.710999999999999</v>
      </c>
      <c r="AK294">
        <v>42.097999999999999</v>
      </c>
      <c r="AL294">
        <v>-14.302</v>
      </c>
      <c r="AM294">
        <v>-9.2249999999999996</v>
      </c>
      <c r="AN294">
        <v>-1.0999999999999999E-2</v>
      </c>
      <c r="AO294">
        <v>7.3109999999999999</v>
      </c>
      <c r="AP294">
        <v>1.2270000000000001</v>
      </c>
      <c r="AQ294">
        <v>5.282</v>
      </c>
      <c r="AR294">
        <v>-3.024</v>
      </c>
      <c r="AS294">
        <v>4.8789999999999996</v>
      </c>
      <c r="AT294">
        <v>4.1890000000000001</v>
      </c>
      <c r="AU294">
        <v>5.4550000000000001</v>
      </c>
      <c r="AV294">
        <v>5.242</v>
      </c>
      <c r="AW294">
        <v>5.883</v>
      </c>
    </row>
    <row r="295" spans="1:49" x14ac:dyDescent="0.35">
      <c r="A295" t="s">
        <v>9</v>
      </c>
      <c r="B295" t="s">
        <v>87</v>
      </c>
      <c r="C295" t="s">
        <v>88</v>
      </c>
      <c r="D295" t="s">
        <v>35</v>
      </c>
      <c r="F295" t="s">
        <v>165</v>
      </c>
      <c r="G295">
        <v>-23.030999999999999</v>
      </c>
      <c r="H295">
        <v>-22.434000000000001</v>
      </c>
      <c r="I295">
        <v>-15.942</v>
      </c>
      <c r="J295">
        <v>-0.22500000000000001</v>
      </c>
      <c r="K295">
        <v>-17.055</v>
      </c>
      <c r="L295">
        <v>25.361999999999998</v>
      </c>
      <c r="M295">
        <v>-26.516999999999999</v>
      </c>
      <c r="N295">
        <v>0.88500000000000001</v>
      </c>
      <c r="O295">
        <v>25.827999999999999</v>
      </c>
      <c r="P295">
        <v>23.082999999999998</v>
      </c>
      <c r="Q295">
        <v>3.2719999999999998</v>
      </c>
      <c r="R295">
        <v>9.3130000000000006</v>
      </c>
      <c r="S295">
        <v>14.462999999999999</v>
      </c>
      <c r="T295">
        <v>-15.272</v>
      </c>
      <c r="U295">
        <v>25.657</v>
      </c>
      <c r="V295">
        <v>-13.164999999999999</v>
      </c>
      <c r="W295">
        <v>35.250999999999998</v>
      </c>
      <c r="X295">
        <v>23.47</v>
      </c>
      <c r="Y295">
        <v>-20.721</v>
      </c>
      <c r="Z295">
        <v>15.347</v>
      </c>
      <c r="AA295">
        <v>-21.308</v>
      </c>
      <c r="AB295">
        <v>-4.8520000000000003</v>
      </c>
      <c r="AC295">
        <v>12.738</v>
      </c>
      <c r="AD295">
        <v>6.1769999999999996</v>
      </c>
      <c r="AE295">
        <v>11.973000000000001</v>
      </c>
      <c r="AF295">
        <v>4.3639999999999999</v>
      </c>
      <c r="AG295">
        <v>6.3040000000000003</v>
      </c>
      <c r="AH295">
        <v>-10.377000000000001</v>
      </c>
      <c r="AI295">
        <v>37.561</v>
      </c>
      <c r="AJ295">
        <v>-18.710999999999999</v>
      </c>
      <c r="AK295">
        <v>42.097999999999999</v>
      </c>
      <c r="AL295">
        <v>-14.302</v>
      </c>
      <c r="AM295">
        <v>-9.2249999999999996</v>
      </c>
      <c r="AN295">
        <v>-1.0999999999999999E-2</v>
      </c>
      <c r="AO295">
        <v>7.3109999999999999</v>
      </c>
      <c r="AP295">
        <v>1.2270000000000001</v>
      </c>
      <c r="AQ295">
        <v>5.282</v>
      </c>
      <c r="AR295">
        <v>-3.024</v>
      </c>
      <c r="AS295">
        <v>4.8789999999999996</v>
      </c>
      <c r="AT295">
        <v>4.1890000000000001</v>
      </c>
      <c r="AU295">
        <v>5.4550000000000001</v>
      </c>
      <c r="AV295">
        <v>5.242</v>
      </c>
      <c r="AW295">
        <v>5.883</v>
      </c>
    </row>
    <row r="296" spans="1:49" x14ac:dyDescent="0.35">
      <c r="A296" t="s">
        <v>9</v>
      </c>
      <c r="B296" t="s">
        <v>89</v>
      </c>
      <c r="C296" t="s">
        <v>90</v>
      </c>
      <c r="D296" t="s">
        <v>35</v>
      </c>
      <c r="F296" t="s">
        <v>165</v>
      </c>
      <c r="G296">
        <v>33.124000000000002</v>
      </c>
      <c r="H296">
        <v>-17.835999999999999</v>
      </c>
      <c r="I296">
        <v>-10.009</v>
      </c>
      <c r="J296">
        <v>3.3119999999999998</v>
      </c>
      <c r="K296">
        <v>32.774999999999999</v>
      </c>
      <c r="L296">
        <v>5.0449999999999999</v>
      </c>
      <c r="M296">
        <v>-3.5680000000000001</v>
      </c>
      <c r="N296">
        <v>1.1379999999999999</v>
      </c>
      <c r="O296">
        <v>2.0049999999999999</v>
      </c>
      <c r="P296">
        <v>-14.930999999999999</v>
      </c>
      <c r="Q296">
        <v>24.928999999999998</v>
      </c>
      <c r="R296">
        <v>5.3440000000000003</v>
      </c>
      <c r="S296">
        <v>-2.903</v>
      </c>
      <c r="T296">
        <v>-5.1050000000000004</v>
      </c>
      <c r="U296">
        <v>10.287000000000001</v>
      </c>
      <c r="V296">
        <v>-0.307</v>
      </c>
      <c r="W296">
        <v>16.899000000000001</v>
      </c>
      <c r="X296">
        <v>4.3499999999999996</v>
      </c>
      <c r="Y296">
        <v>24.399000000000001</v>
      </c>
      <c r="Z296">
        <v>-16.568000000000001</v>
      </c>
      <c r="AA296">
        <v>-6.7530000000000001</v>
      </c>
      <c r="AB296">
        <v>4.3289999999999997</v>
      </c>
      <c r="AC296">
        <v>8.173</v>
      </c>
      <c r="AD296">
        <v>6.1319999999999997</v>
      </c>
      <c r="AE296">
        <v>10.26</v>
      </c>
      <c r="AF296">
        <v>-11.38</v>
      </c>
      <c r="AG296">
        <v>10.853999999999999</v>
      </c>
      <c r="AH296">
        <v>44.600999999999999</v>
      </c>
      <c r="AI296">
        <v>7.1470000000000002</v>
      </c>
      <c r="AJ296">
        <v>-27.736000000000001</v>
      </c>
      <c r="AK296">
        <v>40.948999999999998</v>
      </c>
      <c r="AL296">
        <v>-8.6679999999999993</v>
      </c>
      <c r="AM296">
        <v>5.3120000000000003</v>
      </c>
      <c r="AN296">
        <v>22.077999999999999</v>
      </c>
      <c r="AO296">
        <v>4.7110000000000003</v>
      </c>
      <c r="AP296">
        <v>-4.1230000000000002</v>
      </c>
      <c r="AQ296">
        <v>-1.2929999999999999</v>
      </c>
      <c r="AR296">
        <v>14.284000000000001</v>
      </c>
      <c r="AS296">
        <v>3.4689999999999999</v>
      </c>
      <c r="AT296">
        <v>5.9660000000000002</v>
      </c>
      <c r="AU296">
        <v>6.6509999999999998</v>
      </c>
      <c r="AV296">
        <v>6.1109999999999998</v>
      </c>
      <c r="AW296">
        <v>7.548</v>
      </c>
    </row>
    <row r="297" spans="1:49" x14ac:dyDescent="0.35">
      <c r="A297" t="s">
        <v>9</v>
      </c>
      <c r="B297" t="s">
        <v>91</v>
      </c>
      <c r="C297" t="s">
        <v>92</v>
      </c>
      <c r="D297" t="s">
        <v>35</v>
      </c>
      <c r="F297" t="s">
        <v>165</v>
      </c>
      <c r="G297">
        <v>38.319000000000003</v>
      </c>
      <c r="H297">
        <v>-20.338000000000001</v>
      </c>
      <c r="I297">
        <v>-9.5079999999999991</v>
      </c>
      <c r="J297">
        <v>3.68</v>
      </c>
      <c r="K297">
        <v>33.384999999999998</v>
      </c>
      <c r="L297">
        <v>4.6660000000000004</v>
      </c>
      <c r="M297">
        <v>-2.1</v>
      </c>
      <c r="N297">
        <v>1.6180000000000001</v>
      </c>
      <c r="O297">
        <v>1.556</v>
      </c>
      <c r="P297">
        <v>-15.682</v>
      </c>
      <c r="Q297">
        <v>26.210999999999999</v>
      </c>
      <c r="R297">
        <v>5.8879999999999999</v>
      </c>
      <c r="S297">
        <v>-0.84599999999999997</v>
      </c>
      <c r="T297">
        <v>-4.7530000000000001</v>
      </c>
      <c r="U297">
        <v>9.5289999999999999</v>
      </c>
      <c r="V297">
        <v>1.7350000000000001</v>
      </c>
      <c r="W297">
        <v>15.613</v>
      </c>
      <c r="X297">
        <v>4.5179999999999998</v>
      </c>
      <c r="Y297">
        <v>23.87</v>
      </c>
      <c r="Z297">
        <v>-20.643999999999998</v>
      </c>
      <c r="AA297">
        <v>-6.5739999999999998</v>
      </c>
      <c r="AB297">
        <v>4.3289999999999997</v>
      </c>
      <c r="AC297">
        <v>8.173</v>
      </c>
      <c r="AD297">
        <v>6.1319999999999997</v>
      </c>
      <c r="AE297">
        <v>10.26</v>
      </c>
      <c r="AF297">
        <v>-11.38</v>
      </c>
      <c r="AG297">
        <v>10.853999999999999</v>
      </c>
      <c r="AH297">
        <v>44.600999999999999</v>
      </c>
      <c r="AI297">
        <v>7.1470000000000002</v>
      </c>
      <c r="AJ297">
        <v>-27.736000000000001</v>
      </c>
      <c r="AK297">
        <v>40.948999999999998</v>
      </c>
      <c r="AL297">
        <v>-8.6679999999999993</v>
      </c>
      <c r="AM297">
        <v>5.3120000000000003</v>
      </c>
      <c r="AN297">
        <v>22.077999999999999</v>
      </c>
      <c r="AO297">
        <v>4.7110000000000003</v>
      </c>
      <c r="AP297">
        <v>-4.1230000000000002</v>
      </c>
      <c r="AQ297">
        <v>-1.2929999999999999</v>
      </c>
      <c r="AR297">
        <v>14.284000000000001</v>
      </c>
      <c r="AS297">
        <v>3.4689999999999999</v>
      </c>
      <c r="AT297">
        <v>5.9660000000000002</v>
      </c>
      <c r="AU297">
        <v>6.6509999999999998</v>
      </c>
      <c r="AV297">
        <v>6.1109999999999998</v>
      </c>
      <c r="AW297">
        <v>7.548</v>
      </c>
    </row>
    <row r="298" spans="1:49" x14ac:dyDescent="0.35">
      <c r="A298" t="s">
        <v>9</v>
      </c>
      <c r="B298" t="s">
        <v>93</v>
      </c>
      <c r="C298" t="s">
        <v>94</v>
      </c>
      <c r="D298" t="s">
        <v>95</v>
      </c>
    </row>
    <row r="299" spans="1:49" x14ac:dyDescent="0.35">
      <c r="A299" t="s">
        <v>9</v>
      </c>
      <c r="B299" t="s">
        <v>96</v>
      </c>
      <c r="C299" t="s">
        <v>97</v>
      </c>
      <c r="D299" t="s">
        <v>98</v>
      </c>
      <c r="E299" t="s">
        <v>99</v>
      </c>
    </row>
    <row r="300" spans="1:49" x14ac:dyDescent="0.35">
      <c r="A300" t="s">
        <v>9</v>
      </c>
      <c r="B300" t="s">
        <v>100</v>
      </c>
      <c r="C300" t="s">
        <v>101</v>
      </c>
      <c r="D300" t="s">
        <v>98</v>
      </c>
      <c r="E300" t="s">
        <v>99</v>
      </c>
      <c r="F300" t="s">
        <v>166</v>
      </c>
      <c r="G300">
        <v>6.5640000000000001</v>
      </c>
      <c r="H300">
        <v>6.7480000000000002</v>
      </c>
      <c r="I300">
        <v>6.923</v>
      </c>
      <c r="J300">
        <v>7.1159999999999997</v>
      </c>
      <c r="K300">
        <v>7.3680000000000003</v>
      </c>
      <c r="L300">
        <v>7.7</v>
      </c>
      <c r="M300">
        <v>8.1329999999999991</v>
      </c>
      <c r="N300">
        <v>8.6470000000000002</v>
      </c>
      <c r="O300">
        <v>9.1850000000000005</v>
      </c>
      <c r="P300">
        <v>9.6669999999999998</v>
      </c>
      <c r="Q300">
        <v>10.039</v>
      </c>
      <c r="R300">
        <v>10.275</v>
      </c>
      <c r="S300">
        <v>10.4</v>
      </c>
      <c r="T300">
        <v>10.461</v>
      </c>
      <c r="U300">
        <v>10.532999999999999</v>
      </c>
      <c r="V300">
        <v>10.666</v>
      </c>
      <c r="W300">
        <v>10.875999999999999</v>
      </c>
      <c r="X300">
        <v>11.148</v>
      </c>
      <c r="Y300">
        <v>11.458</v>
      </c>
      <c r="Z300">
        <v>11.773999999999999</v>
      </c>
      <c r="AA300">
        <v>12.07</v>
      </c>
      <c r="AB300">
        <v>12.343</v>
      </c>
      <c r="AC300">
        <v>12.813000000000001</v>
      </c>
      <c r="AD300">
        <v>13.098000000000001</v>
      </c>
      <c r="AE300">
        <v>13.385</v>
      </c>
      <c r="AF300">
        <v>13.654</v>
      </c>
      <c r="AG300">
        <v>14.042999999999999</v>
      </c>
      <c r="AH300">
        <v>14.439</v>
      </c>
      <c r="AI300">
        <v>14.846</v>
      </c>
      <c r="AJ300">
        <v>15.273999999999999</v>
      </c>
      <c r="AK300">
        <v>15.714</v>
      </c>
      <c r="AL300">
        <v>16.166</v>
      </c>
      <c r="AM300">
        <v>16.632000000000001</v>
      </c>
      <c r="AN300">
        <v>17.111000000000001</v>
      </c>
      <c r="AO300">
        <v>17.603999999999999</v>
      </c>
      <c r="AP300">
        <v>18.111000000000001</v>
      </c>
      <c r="AQ300">
        <v>18.632000000000001</v>
      </c>
      <c r="AR300">
        <v>19.169</v>
      </c>
      <c r="AS300">
        <v>19.721</v>
      </c>
      <c r="AT300">
        <v>20.289000000000001</v>
      </c>
      <c r="AU300">
        <v>20.873000000000001</v>
      </c>
      <c r="AV300">
        <v>21.474</v>
      </c>
      <c r="AW300">
        <v>22.093</v>
      </c>
    </row>
    <row r="301" spans="1:49" x14ac:dyDescent="0.35">
      <c r="A301" t="s">
        <v>9</v>
      </c>
      <c r="B301" t="s">
        <v>103</v>
      </c>
      <c r="C301" t="s">
        <v>104</v>
      </c>
      <c r="D301" t="s">
        <v>31</v>
      </c>
      <c r="E301" t="s">
        <v>32</v>
      </c>
      <c r="F301" t="s">
        <v>167</v>
      </c>
      <c r="G301" t="s">
        <v>82</v>
      </c>
      <c r="H301" t="s">
        <v>82</v>
      </c>
      <c r="I301" t="s">
        <v>82</v>
      </c>
      <c r="J301" t="s">
        <v>82</v>
      </c>
      <c r="K301" t="s">
        <v>82</v>
      </c>
      <c r="L301" t="s">
        <v>82</v>
      </c>
      <c r="M301" t="s">
        <v>82</v>
      </c>
      <c r="N301" t="s">
        <v>82</v>
      </c>
      <c r="O301" t="s">
        <v>82</v>
      </c>
      <c r="P301" t="s">
        <v>82</v>
      </c>
      <c r="Q301" t="s">
        <v>82</v>
      </c>
      <c r="R301" t="s">
        <v>82</v>
      </c>
      <c r="S301" t="s">
        <v>82</v>
      </c>
      <c r="T301" t="s">
        <v>82</v>
      </c>
      <c r="U301" t="s">
        <v>82</v>
      </c>
      <c r="V301" t="s">
        <v>82</v>
      </c>
      <c r="W301" t="s">
        <v>82</v>
      </c>
      <c r="X301" t="s">
        <v>82</v>
      </c>
      <c r="Y301" t="s">
        <v>82</v>
      </c>
      <c r="Z301" t="s">
        <v>82</v>
      </c>
      <c r="AA301" t="s">
        <v>82</v>
      </c>
      <c r="AB301" t="s">
        <v>82</v>
      </c>
      <c r="AC301">
        <v>36.070999999999998</v>
      </c>
      <c r="AD301">
        <v>57.417000000000002</v>
      </c>
      <c r="AE301">
        <v>79.114000000000004</v>
      </c>
      <c r="AF301">
        <v>98.231999999999999</v>
      </c>
      <c r="AG301">
        <v>138.80699999999999</v>
      </c>
      <c r="AH301">
        <v>164.49799999999999</v>
      </c>
      <c r="AI301">
        <v>192.053</v>
      </c>
      <c r="AJ301">
        <v>218.21199999999999</v>
      </c>
      <c r="AK301">
        <v>305.65300000000002</v>
      </c>
      <c r="AL301">
        <v>252.38200000000001</v>
      </c>
      <c r="AM301">
        <v>373.88200000000001</v>
      </c>
      <c r="AN301">
        <v>485.53800000000001</v>
      </c>
      <c r="AO301">
        <v>560.17200000000003</v>
      </c>
      <c r="AP301">
        <v>703.69799999999998</v>
      </c>
      <c r="AQ301">
        <v>838.28499999999997</v>
      </c>
      <c r="AR301" s="27">
        <v>1048.27</v>
      </c>
      <c r="AS301" s="27">
        <v>1156.9100000000001</v>
      </c>
      <c r="AT301" s="27">
        <v>1293.33</v>
      </c>
      <c r="AU301" s="27">
        <v>1455.87</v>
      </c>
      <c r="AV301" s="27">
        <v>1604.68</v>
      </c>
      <c r="AW301" s="27">
        <v>1753.11</v>
      </c>
    </row>
    <row r="302" spans="1:49" x14ac:dyDescent="0.35">
      <c r="A302" t="s">
        <v>9</v>
      </c>
      <c r="B302" t="s">
        <v>103</v>
      </c>
      <c r="C302" t="s">
        <v>104</v>
      </c>
      <c r="D302" t="s">
        <v>70</v>
      </c>
      <c r="F302" t="s">
        <v>106</v>
      </c>
      <c r="G302" t="s">
        <v>82</v>
      </c>
      <c r="H302" t="s">
        <v>82</v>
      </c>
      <c r="I302" t="s">
        <v>82</v>
      </c>
      <c r="J302" t="s">
        <v>82</v>
      </c>
      <c r="K302" t="s">
        <v>82</v>
      </c>
      <c r="L302" t="s">
        <v>82</v>
      </c>
      <c r="M302" t="s">
        <v>82</v>
      </c>
      <c r="N302" t="s">
        <v>82</v>
      </c>
      <c r="O302" t="s">
        <v>82</v>
      </c>
      <c r="P302" t="s">
        <v>82</v>
      </c>
      <c r="Q302" t="s">
        <v>82</v>
      </c>
      <c r="R302" t="s">
        <v>82</v>
      </c>
      <c r="S302" t="s">
        <v>82</v>
      </c>
      <c r="T302" t="s">
        <v>82</v>
      </c>
      <c r="U302" t="s">
        <v>82</v>
      </c>
      <c r="V302" t="s">
        <v>82</v>
      </c>
      <c r="W302" t="s">
        <v>82</v>
      </c>
      <c r="X302" t="s">
        <v>82</v>
      </c>
      <c r="Y302" t="s">
        <v>82</v>
      </c>
      <c r="Z302" t="s">
        <v>82</v>
      </c>
      <c r="AA302" t="s">
        <v>82</v>
      </c>
      <c r="AB302" t="s">
        <v>82</v>
      </c>
      <c r="AC302">
        <v>12.919</v>
      </c>
      <c r="AD302">
        <v>19.774000000000001</v>
      </c>
      <c r="AE302">
        <v>22.89</v>
      </c>
      <c r="AF302">
        <v>24.21</v>
      </c>
      <c r="AG302">
        <v>28.422999999999998</v>
      </c>
      <c r="AH302">
        <v>28.259</v>
      </c>
      <c r="AI302">
        <v>28.074999999999999</v>
      </c>
      <c r="AJ302">
        <v>26.911000000000001</v>
      </c>
      <c r="AK302">
        <v>31.817</v>
      </c>
      <c r="AL302">
        <v>21.945</v>
      </c>
      <c r="AM302">
        <v>27.146999999999998</v>
      </c>
      <c r="AN302">
        <v>28.276</v>
      </c>
      <c r="AO302">
        <v>24.986000000000001</v>
      </c>
      <c r="AP302">
        <v>24.713999999999999</v>
      </c>
      <c r="AQ302">
        <v>23.733000000000001</v>
      </c>
      <c r="AR302">
        <v>24.774000000000001</v>
      </c>
      <c r="AS302">
        <v>23.649000000000001</v>
      </c>
      <c r="AT302">
        <v>23.29</v>
      </c>
      <c r="AU302">
        <v>23.210999999999999</v>
      </c>
      <c r="AV302">
        <v>22.867000000000001</v>
      </c>
      <c r="AW302">
        <v>22.701000000000001</v>
      </c>
    </row>
    <row r="303" spans="1:49" x14ac:dyDescent="0.35">
      <c r="A303" t="s">
        <v>9</v>
      </c>
      <c r="B303" t="s">
        <v>107</v>
      </c>
      <c r="C303" t="s">
        <v>108</v>
      </c>
      <c r="D303" t="s">
        <v>31</v>
      </c>
      <c r="E303" t="s">
        <v>32</v>
      </c>
      <c r="F303" t="s">
        <v>167</v>
      </c>
      <c r="G303" t="s">
        <v>82</v>
      </c>
      <c r="H303" t="s">
        <v>82</v>
      </c>
      <c r="I303" t="s">
        <v>82</v>
      </c>
      <c r="J303" t="s">
        <v>82</v>
      </c>
      <c r="K303" t="s">
        <v>82</v>
      </c>
      <c r="L303" t="s">
        <v>82</v>
      </c>
      <c r="M303" t="s">
        <v>82</v>
      </c>
      <c r="N303" t="s">
        <v>82</v>
      </c>
      <c r="O303" t="s">
        <v>82</v>
      </c>
      <c r="P303" t="s">
        <v>82</v>
      </c>
      <c r="Q303" t="s">
        <v>82</v>
      </c>
      <c r="R303" t="s">
        <v>82</v>
      </c>
      <c r="S303" t="s">
        <v>82</v>
      </c>
      <c r="T303" t="s">
        <v>82</v>
      </c>
      <c r="U303" t="s">
        <v>82</v>
      </c>
      <c r="V303" t="s">
        <v>82</v>
      </c>
      <c r="W303" t="s">
        <v>82</v>
      </c>
      <c r="X303" t="s">
        <v>82</v>
      </c>
      <c r="Y303" t="s">
        <v>82</v>
      </c>
      <c r="Z303" t="s">
        <v>82</v>
      </c>
      <c r="AA303" t="s">
        <v>82</v>
      </c>
      <c r="AB303" t="s">
        <v>82</v>
      </c>
      <c r="AC303">
        <v>52.076999999999998</v>
      </c>
      <c r="AD303">
        <v>67.55</v>
      </c>
      <c r="AE303">
        <v>91.221999999999994</v>
      </c>
      <c r="AF303">
        <v>105.932</v>
      </c>
      <c r="AG303">
        <v>136.066</v>
      </c>
      <c r="AH303">
        <v>181.035</v>
      </c>
      <c r="AI303">
        <v>217.31</v>
      </c>
      <c r="AJ303">
        <v>247.143</v>
      </c>
      <c r="AK303">
        <v>288.06599999999997</v>
      </c>
      <c r="AL303">
        <v>299.80500000000001</v>
      </c>
      <c r="AM303">
        <v>398.23500000000001</v>
      </c>
      <c r="AN303">
        <v>595.90300000000002</v>
      </c>
      <c r="AO303">
        <v>668.74599999999998</v>
      </c>
      <c r="AP303">
        <v>881.01700000000005</v>
      </c>
      <c r="AQ303" s="27">
        <v>1089.22</v>
      </c>
      <c r="AR303" s="27">
        <v>1270.53</v>
      </c>
      <c r="AS303" s="27">
        <v>1306.18</v>
      </c>
      <c r="AT303" s="27">
        <v>1456.41</v>
      </c>
      <c r="AU303" s="27">
        <v>1595.92</v>
      </c>
      <c r="AV303" s="27">
        <v>1756.8</v>
      </c>
      <c r="AW303" s="27">
        <v>1893.38</v>
      </c>
    </row>
    <row r="304" spans="1:49" x14ac:dyDescent="0.35">
      <c r="A304" t="s">
        <v>9</v>
      </c>
      <c r="B304" t="s">
        <v>107</v>
      </c>
      <c r="C304" t="s">
        <v>108</v>
      </c>
      <c r="D304" t="s">
        <v>70</v>
      </c>
      <c r="F304" t="s">
        <v>109</v>
      </c>
      <c r="G304" t="s">
        <v>82</v>
      </c>
      <c r="H304" t="s">
        <v>82</v>
      </c>
      <c r="I304" t="s">
        <v>82</v>
      </c>
      <c r="J304" t="s">
        <v>82</v>
      </c>
      <c r="K304" t="s">
        <v>82</v>
      </c>
      <c r="L304" t="s">
        <v>82</v>
      </c>
      <c r="M304" t="s">
        <v>82</v>
      </c>
      <c r="N304" t="s">
        <v>82</v>
      </c>
      <c r="O304" t="s">
        <v>82</v>
      </c>
      <c r="P304" t="s">
        <v>82</v>
      </c>
      <c r="Q304" t="s">
        <v>82</v>
      </c>
      <c r="R304" t="s">
        <v>82</v>
      </c>
      <c r="S304" t="s">
        <v>82</v>
      </c>
      <c r="T304" t="s">
        <v>82</v>
      </c>
      <c r="U304" t="s">
        <v>82</v>
      </c>
      <c r="V304" t="s">
        <v>82</v>
      </c>
      <c r="W304" t="s">
        <v>82</v>
      </c>
      <c r="X304" t="s">
        <v>82</v>
      </c>
      <c r="Y304" t="s">
        <v>82</v>
      </c>
      <c r="Z304" t="s">
        <v>82</v>
      </c>
      <c r="AA304" t="s">
        <v>82</v>
      </c>
      <c r="AB304" t="s">
        <v>82</v>
      </c>
      <c r="AC304">
        <v>18.651</v>
      </c>
      <c r="AD304">
        <v>23.263000000000002</v>
      </c>
      <c r="AE304">
        <v>26.393999999999998</v>
      </c>
      <c r="AF304">
        <v>26.108000000000001</v>
      </c>
      <c r="AG304">
        <v>27.861999999999998</v>
      </c>
      <c r="AH304">
        <v>31.1</v>
      </c>
      <c r="AI304">
        <v>31.766999999999999</v>
      </c>
      <c r="AJ304">
        <v>30.478999999999999</v>
      </c>
      <c r="AK304">
        <v>29.986000000000001</v>
      </c>
      <c r="AL304">
        <v>26.068999999999999</v>
      </c>
      <c r="AM304">
        <v>28.914999999999999</v>
      </c>
      <c r="AN304">
        <v>34.703000000000003</v>
      </c>
      <c r="AO304">
        <v>29.829000000000001</v>
      </c>
      <c r="AP304">
        <v>30.940999999999999</v>
      </c>
      <c r="AQ304">
        <v>30.838000000000001</v>
      </c>
      <c r="AR304">
        <v>30.026</v>
      </c>
      <c r="AS304">
        <v>26.701000000000001</v>
      </c>
      <c r="AT304">
        <v>26.227</v>
      </c>
      <c r="AU304">
        <v>25.443999999999999</v>
      </c>
      <c r="AV304">
        <v>25.035</v>
      </c>
      <c r="AW304">
        <v>24.518000000000001</v>
      </c>
    </row>
    <row r="305" spans="1:49" x14ac:dyDescent="0.35">
      <c r="A305" t="s">
        <v>9</v>
      </c>
      <c r="B305" t="s">
        <v>110</v>
      </c>
      <c r="C305" t="s">
        <v>111</v>
      </c>
      <c r="D305" t="s">
        <v>31</v>
      </c>
      <c r="E305" t="s">
        <v>32</v>
      </c>
      <c r="F305" t="s">
        <v>167</v>
      </c>
      <c r="G305" t="s">
        <v>82</v>
      </c>
      <c r="H305" t="s">
        <v>82</v>
      </c>
      <c r="I305" t="s">
        <v>82</v>
      </c>
      <c r="J305" t="s">
        <v>82</v>
      </c>
      <c r="K305" t="s">
        <v>82</v>
      </c>
      <c r="L305" t="s">
        <v>82</v>
      </c>
      <c r="M305" t="s">
        <v>82</v>
      </c>
      <c r="N305" t="s">
        <v>82</v>
      </c>
      <c r="O305" t="s">
        <v>82</v>
      </c>
      <c r="P305" t="s">
        <v>82</v>
      </c>
      <c r="Q305" t="s">
        <v>82</v>
      </c>
      <c r="R305" t="s">
        <v>82</v>
      </c>
      <c r="S305" t="s">
        <v>82</v>
      </c>
      <c r="T305" t="s">
        <v>82</v>
      </c>
      <c r="U305" t="s">
        <v>82</v>
      </c>
      <c r="V305" t="s">
        <v>82</v>
      </c>
      <c r="W305" t="s">
        <v>82</v>
      </c>
      <c r="X305" t="s">
        <v>82</v>
      </c>
      <c r="Y305" t="s">
        <v>82</v>
      </c>
      <c r="Z305" t="s">
        <v>82</v>
      </c>
      <c r="AA305" t="s">
        <v>82</v>
      </c>
      <c r="AB305" t="s">
        <v>82</v>
      </c>
      <c r="AC305">
        <v>-16.006</v>
      </c>
      <c r="AD305">
        <v>-10.132999999999999</v>
      </c>
      <c r="AE305">
        <v>-12.109</v>
      </c>
      <c r="AF305">
        <v>-7.6989999999999998</v>
      </c>
      <c r="AG305">
        <v>2.7410000000000001</v>
      </c>
      <c r="AH305">
        <v>-16.536999999999999</v>
      </c>
      <c r="AI305">
        <v>-25.257000000000001</v>
      </c>
      <c r="AJ305">
        <v>-28.931000000000001</v>
      </c>
      <c r="AK305">
        <v>17.587</v>
      </c>
      <c r="AL305">
        <v>-47.423000000000002</v>
      </c>
      <c r="AM305">
        <v>-24.352</v>
      </c>
      <c r="AN305">
        <v>-110.364</v>
      </c>
      <c r="AO305">
        <v>-108.57299999999999</v>
      </c>
      <c r="AP305">
        <v>-177.31899999999999</v>
      </c>
      <c r="AQ305">
        <v>-250.93700000000001</v>
      </c>
      <c r="AR305">
        <v>-222.261</v>
      </c>
      <c r="AS305">
        <v>-149.267</v>
      </c>
      <c r="AT305">
        <v>-163.08099999999999</v>
      </c>
      <c r="AU305">
        <v>-140.05199999999999</v>
      </c>
      <c r="AV305">
        <v>-152.12299999999999</v>
      </c>
      <c r="AW305">
        <v>-140.27000000000001</v>
      </c>
    </row>
    <row r="306" spans="1:49" x14ac:dyDescent="0.35">
      <c r="A306" t="s">
        <v>9</v>
      </c>
      <c r="B306" t="s">
        <v>110</v>
      </c>
      <c r="C306" t="s">
        <v>111</v>
      </c>
      <c r="D306" t="s">
        <v>70</v>
      </c>
      <c r="F306" t="s">
        <v>112</v>
      </c>
      <c r="G306" t="s">
        <v>82</v>
      </c>
      <c r="H306" t="s">
        <v>82</v>
      </c>
      <c r="I306" t="s">
        <v>82</v>
      </c>
      <c r="J306" t="s">
        <v>82</v>
      </c>
      <c r="K306" t="s">
        <v>82</v>
      </c>
      <c r="L306" t="s">
        <v>82</v>
      </c>
      <c r="M306" t="s">
        <v>82</v>
      </c>
      <c r="N306" t="s">
        <v>82</v>
      </c>
      <c r="O306" t="s">
        <v>82</v>
      </c>
      <c r="P306" t="s">
        <v>82</v>
      </c>
      <c r="Q306" t="s">
        <v>82</v>
      </c>
      <c r="R306" t="s">
        <v>82</v>
      </c>
      <c r="S306" t="s">
        <v>82</v>
      </c>
      <c r="T306" t="s">
        <v>82</v>
      </c>
      <c r="U306" t="s">
        <v>82</v>
      </c>
      <c r="V306" t="s">
        <v>82</v>
      </c>
      <c r="W306" t="s">
        <v>82</v>
      </c>
      <c r="X306" t="s">
        <v>82</v>
      </c>
      <c r="Y306" t="s">
        <v>82</v>
      </c>
      <c r="Z306" t="s">
        <v>82</v>
      </c>
      <c r="AA306" t="s">
        <v>82</v>
      </c>
      <c r="AB306" t="s">
        <v>82</v>
      </c>
      <c r="AC306">
        <v>-5.7320000000000002</v>
      </c>
      <c r="AD306">
        <v>-3.49</v>
      </c>
      <c r="AE306">
        <v>-3.5030000000000001</v>
      </c>
      <c r="AF306">
        <v>-1.8979999999999999</v>
      </c>
      <c r="AG306">
        <v>0.56100000000000005</v>
      </c>
      <c r="AH306">
        <v>-2.8410000000000002</v>
      </c>
      <c r="AI306">
        <v>-3.6920000000000002</v>
      </c>
      <c r="AJ306">
        <v>-3.5680000000000001</v>
      </c>
      <c r="AK306">
        <v>1.831</v>
      </c>
      <c r="AL306">
        <v>-4.1239999999999997</v>
      </c>
      <c r="AM306">
        <v>-1.768</v>
      </c>
      <c r="AN306">
        <v>-6.4269999999999996</v>
      </c>
      <c r="AO306">
        <v>-4.843</v>
      </c>
      <c r="AP306">
        <v>-6.2270000000000003</v>
      </c>
      <c r="AQ306">
        <v>-7.1040000000000001</v>
      </c>
      <c r="AR306">
        <v>-5.2530000000000001</v>
      </c>
      <c r="AS306">
        <v>-3.0510000000000002</v>
      </c>
      <c r="AT306">
        <v>-2.9369999999999998</v>
      </c>
      <c r="AU306">
        <v>-2.2330000000000001</v>
      </c>
      <c r="AV306">
        <v>-2.1680000000000001</v>
      </c>
      <c r="AW306">
        <v>-1.8160000000000001</v>
      </c>
    </row>
    <row r="307" spans="1:49" x14ac:dyDescent="0.35">
      <c r="A307" t="s">
        <v>9</v>
      </c>
      <c r="B307" t="s">
        <v>113</v>
      </c>
      <c r="C307" t="s">
        <v>114</v>
      </c>
      <c r="D307" t="s">
        <v>31</v>
      </c>
      <c r="E307" t="s">
        <v>32</v>
      </c>
    </row>
    <row r="308" spans="1:49" x14ac:dyDescent="0.35">
      <c r="A308" t="s">
        <v>9</v>
      </c>
      <c r="B308" t="s">
        <v>113</v>
      </c>
      <c r="C308" t="s">
        <v>114</v>
      </c>
      <c r="D308" t="s">
        <v>61</v>
      </c>
    </row>
    <row r="309" spans="1:49" x14ac:dyDescent="0.35">
      <c r="A309" t="s">
        <v>9</v>
      </c>
      <c r="B309" t="s">
        <v>115</v>
      </c>
      <c r="C309" t="s">
        <v>116</v>
      </c>
      <c r="D309" t="s">
        <v>31</v>
      </c>
      <c r="E309" t="s">
        <v>32</v>
      </c>
      <c r="F309" t="s">
        <v>167</v>
      </c>
      <c r="G309" t="s">
        <v>82</v>
      </c>
      <c r="H309" t="s">
        <v>82</v>
      </c>
      <c r="I309" t="s">
        <v>82</v>
      </c>
      <c r="J309" t="s">
        <v>82</v>
      </c>
      <c r="K309" t="s">
        <v>82</v>
      </c>
      <c r="L309" t="s">
        <v>82</v>
      </c>
      <c r="M309" t="s">
        <v>82</v>
      </c>
      <c r="N309" t="s">
        <v>82</v>
      </c>
      <c r="O309" t="s">
        <v>82</v>
      </c>
      <c r="P309" t="s">
        <v>82</v>
      </c>
      <c r="Q309" t="s">
        <v>82</v>
      </c>
      <c r="R309" t="s">
        <v>82</v>
      </c>
      <c r="S309" t="s">
        <v>82</v>
      </c>
      <c r="T309" t="s">
        <v>82</v>
      </c>
      <c r="U309" t="s">
        <v>82</v>
      </c>
      <c r="V309" t="s">
        <v>82</v>
      </c>
      <c r="W309" t="s">
        <v>82</v>
      </c>
      <c r="X309" t="s">
        <v>82</v>
      </c>
      <c r="Y309" t="s">
        <v>82</v>
      </c>
      <c r="Z309" t="s">
        <v>82</v>
      </c>
      <c r="AA309" t="s">
        <v>82</v>
      </c>
      <c r="AB309" t="s">
        <v>82</v>
      </c>
      <c r="AC309">
        <v>-8.407</v>
      </c>
      <c r="AD309">
        <v>6.0529999999999999</v>
      </c>
      <c r="AE309">
        <v>8.3879999999999999</v>
      </c>
      <c r="AF309">
        <v>10.69</v>
      </c>
      <c r="AG309">
        <v>21.692</v>
      </c>
      <c r="AH309">
        <v>-3.8140000000000001</v>
      </c>
      <c r="AI309">
        <v>-11.430999999999999</v>
      </c>
      <c r="AJ309">
        <v>-9.9789999999999992</v>
      </c>
      <c r="AK309">
        <v>38.875999999999998</v>
      </c>
      <c r="AL309">
        <v>-20.29</v>
      </c>
      <c r="AM309">
        <v>-2.8530000000000002</v>
      </c>
      <c r="AN309">
        <v>-38.167000000000002</v>
      </c>
      <c r="AO309">
        <v>2.5950000000000002</v>
      </c>
      <c r="AP309">
        <v>-73.962000000000003</v>
      </c>
      <c r="AQ309">
        <v>-81.192999999999998</v>
      </c>
      <c r="AR309">
        <v>-36.76</v>
      </c>
      <c r="AS309">
        <v>38.497999999999998</v>
      </c>
      <c r="AT309">
        <v>17.439</v>
      </c>
      <c r="AU309">
        <v>31.82</v>
      </c>
      <c r="AV309">
        <v>22.709</v>
      </c>
      <c r="AW309">
        <v>26.806999999999999</v>
      </c>
    </row>
    <row r="310" spans="1:49" x14ac:dyDescent="0.35">
      <c r="A310" t="s">
        <v>9</v>
      </c>
      <c r="B310" t="s">
        <v>115</v>
      </c>
      <c r="C310" t="s">
        <v>116</v>
      </c>
      <c r="D310" t="s">
        <v>70</v>
      </c>
      <c r="F310" t="s">
        <v>117</v>
      </c>
      <c r="G310" t="s">
        <v>82</v>
      </c>
      <c r="H310" t="s">
        <v>82</v>
      </c>
      <c r="I310" t="s">
        <v>82</v>
      </c>
      <c r="J310" t="s">
        <v>82</v>
      </c>
      <c r="K310" t="s">
        <v>82</v>
      </c>
      <c r="L310" t="s">
        <v>82</v>
      </c>
      <c r="M310" t="s">
        <v>82</v>
      </c>
      <c r="N310" t="s">
        <v>82</v>
      </c>
      <c r="O310" t="s">
        <v>82</v>
      </c>
      <c r="P310" t="s">
        <v>82</v>
      </c>
      <c r="Q310" t="s">
        <v>82</v>
      </c>
      <c r="R310" t="s">
        <v>82</v>
      </c>
      <c r="S310" t="s">
        <v>82</v>
      </c>
      <c r="T310" t="s">
        <v>82</v>
      </c>
      <c r="U310" t="s">
        <v>82</v>
      </c>
      <c r="V310" t="s">
        <v>82</v>
      </c>
      <c r="W310" t="s">
        <v>82</v>
      </c>
      <c r="X310" t="s">
        <v>82</v>
      </c>
      <c r="Y310" t="s">
        <v>82</v>
      </c>
      <c r="Z310" t="s">
        <v>82</v>
      </c>
      <c r="AA310" t="s">
        <v>82</v>
      </c>
      <c r="AB310" t="s">
        <v>82</v>
      </c>
      <c r="AC310">
        <v>-3.0110000000000001</v>
      </c>
      <c r="AD310">
        <v>2.085</v>
      </c>
      <c r="AE310">
        <v>2.427</v>
      </c>
      <c r="AF310">
        <v>2.6349999999999998</v>
      </c>
      <c r="AG310">
        <v>4.4420000000000002</v>
      </c>
      <c r="AH310">
        <v>-0.65500000000000003</v>
      </c>
      <c r="AI310">
        <v>-1.671</v>
      </c>
      <c r="AJ310">
        <v>-1.2310000000000001</v>
      </c>
      <c r="AK310">
        <v>4.0469999999999997</v>
      </c>
      <c r="AL310">
        <v>-1.764</v>
      </c>
      <c r="AM310">
        <v>-0.20699999999999999</v>
      </c>
      <c r="AN310">
        <v>-2.2229999999999999</v>
      </c>
      <c r="AO310">
        <v>0.11600000000000001</v>
      </c>
      <c r="AP310">
        <v>-2.5979999999999999</v>
      </c>
      <c r="AQ310">
        <v>-2.2989999999999999</v>
      </c>
      <c r="AR310">
        <v>-0.86899999999999999</v>
      </c>
      <c r="AS310">
        <v>0.78700000000000003</v>
      </c>
      <c r="AT310">
        <v>0.314</v>
      </c>
      <c r="AU310">
        <v>0.50700000000000001</v>
      </c>
      <c r="AV310">
        <v>0.32400000000000001</v>
      </c>
      <c r="AW310">
        <v>0.34699999999999998</v>
      </c>
    </row>
    <row r="311" spans="1:49" x14ac:dyDescent="0.35">
      <c r="A311" t="s">
        <v>9</v>
      </c>
      <c r="B311" t="s">
        <v>118</v>
      </c>
      <c r="C311" t="s">
        <v>119</v>
      </c>
      <c r="D311" t="s">
        <v>31</v>
      </c>
      <c r="E311" t="s">
        <v>32</v>
      </c>
    </row>
    <row r="312" spans="1:49" x14ac:dyDescent="0.35">
      <c r="A312" t="s">
        <v>9</v>
      </c>
      <c r="B312" t="s">
        <v>118</v>
      </c>
      <c r="C312" t="s">
        <v>119</v>
      </c>
      <c r="D312" t="s">
        <v>70</v>
      </c>
    </row>
    <row r="313" spans="1:49" x14ac:dyDescent="0.35">
      <c r="A313" t="s">
        <v>9</v>
      </c>
      <c r="B313" t="s">
        <v>120</v>
      </c>
      <c r="C313" t="s">
        <v>121</v>
      </c>
      <c r="D313" t="s">
        <v>31</v>
      </c>
      <c r="E313" t="s">
        <v>32</v>
      </c>
      <c r="F313" t="s">
        <v>167</v>
      </c>
      <c r="G313" t="s">
        <v>82</v>
      </c>
      <c r="H313" t="s">
        <v>82</v>
      </c>
      <c r="I313" t="s">
        <v>82</v>
      </c>
      <c r="J313" t="s">
        <v>82</v>
      </c>
      <c r="K313" t="s">
        <v>82</v>
      </c>
      <c r="L313" t="s">
        <v>82</v>
      </c>
      <c r="M313" t="s">
        <v>82</v>
      </c>
      <c r="N313" t="s">
        <v>82</v>
      </c>
      <c r="O313" t="s">
        <v>82</v>
      </c>
      <c r="P313" t="s">
        <v>82</v>
      </c>
      <c r="Q313" t="s">
        <v>82</v>
      </c>
      <c r="R313" t="s">
        <v>82</v>
      </c>
      <c r="S313" t="s">
        <v>82</v>
      </c>
      <c r="T313" t="s">
        <v>82</v>
      </c>
      <c r="U313" t="s">
        <v>82</v>
      </c>
      <c r="V313" t="s">
        <v>82</v>
      </c>
      <c r="W313" t="s">
        <v>82</v>
      </c>
      <c r="X313" t="s">
        <v>82</v>
      </c>
      <c r="Y313" t="s">
        <v>82</v>
      </c>
      <c r="Z313" t="s">
        <v>82</v>
      </c>
      <c r="AA313" t="s">
        <v>82</v>
      </c>
      <c r="AB313" t="s">
        <v>82</v>
      </c>
      <c r="AC313">
        <v>383.11799999999999</v>
      </c>
      <c r="AD313">
        <v>373.07400000000001</v>
      </c>
      <c r="AE313">
        <v>397.95600000000002</v>
      </c>
      <c r="AF313">
        <v>432.38600000000002</v>
      </c>
      <c r="AG313">
        <v>137.125</v>
      </c>
      <c r="AH313">
        <v>165.51900000000001</v>
      </c>
      <c r="AI313">
        <v>247.654</v>
      </c>
      <c r="AJ313">
        <v>289.02199999999999</v>
      </c>
      <c r="AK313">
        <v>284.79000000000002</v>
      </c>
      <c r="AL313">
        <v>352.48200000000003</v>
      </c>
      <c r="AM313">
        <v>604.86099999999999</v>
      </c>
      <c r="AN313" s="27">
        <v>1017.43</v>
      </c>
      <c r="AO313" s="27">
        <v>1238.43</v>
      </c>
      <c r="AP313" s="27">
        <v>1738.97</v>
      </c>
      <c r="AQ313" s="27">
        <v>2126.66</v>
      </c>
      <c r="AR313" s="27">
        <v>2315</v>
      </c>
      <c r="AS313" s="27">
        <v>2603.79</v>
      </c>
      <c r="AT313" s="27">
        <v>2855.72</v>
      </c>
      <c r="AU313" s="27">
        <v>3071.17</v>
      </c>
      <c r="AV313" s="27">
        <v>3304.36</v>
      </c>
      <c r="AW313" s="27">
        <v>3510.57</v>
      </c>
    </row>
    <row r="314" spans="1:49" x14ac:dyDescent="0.35">
      <c r="A314" t="s">
        <v>9</v>
      </c>
      <c r="B314" t="s">
        <v>120</v>
      </c>
      <c r="C314" t="s">
        <v>121</v>
      </c>
      <c r="D314" t="s">
        <v>70</v>
      </c>
      <c r="F314" t="s">
        <v>122</v>
      </c>
      <c r="G314" t="s">
        <v>82</v>
      </c>
      <c r="H314" t="s">
        <v>82</v>
      </c>
      <c r="I314" t="s">
        <v>82</v>
      </c>
      <c r="J314" t="s">
        <v>82</v>
      </c>
      <c r="K314" t="s">
        <v>82</v>
      </c>
      <c r="L314" t="s">
        <v>82</v>
      </c>
      <c r="M314" t="s">
        <v>82</v>
      </c>
      <c r="N314" t="s">
        <v>82</v>
      </c>
      <c r="O314" t="s">
        <v>82</v>
      </c>
      <c r="P314" t="s">
        <v>82</v>
      </c>
      <c r="Q314" t="s">
        <v>82</v>
      </c>
      <c r="R314" t="s">
        <v>82</v>
      </c>
      <c r="S314" t="s">
        <v>82</v>
      </c>
      <c r="T314" t="s">
        <v>82</v>
      </c>
      <c r="U314" t="s">
        <v>82</v>
      </c>
      <c r="V314" t="s">
        <v>82</v>
      </c>
      <c r="W314" t="s">
        <v>82</v>
      </c>
      <c r="X314" t="s">
        <v>82</v>
      </c>
      <c r="Y314" t="s">
        <v>82</v>
      </c>
      <c r="Z314" t="s">
        <v>82</v>
      </c>
      <c r="AA314" t="s">
        <v>82</v>
      </c>
      <c r="AB314" t="s">
        <v>82</v>
      </c>
      <c r="AC314">
        <v>137.21100000000001</v>
      </c>
      <c r="AD314">
        <v>128.482</v>
      </c>
      <c r="AE314">
        <v>115.142</v>
      </c>
      <c r="AF314">
        <v>106.565</v>
      </c>
      <c r="AG314">
        <v>28.079000000000001</v>
      </c>
      <c r="AH314">
        <v>28.434999999999999</v>
      </c>
      <c r="AI314">
        <v>36.203000000000003</v>
      </c>
      <c r="AJ314">
        <v>35.643999999999998</v>
      </c>
      <c r="AK314">
        <v>29.645</v>
      </c>
      <c r="AL314">
        <v>30.649000000000001</v>
      </c>
      <c r="AM314">
        <v>43.917999999999999</v>
      </c>
      <c r="AN314">
        <v>59.250999999999998</v>
      </c>
      <c r="AO314">
        <v>55.24</v>
      </c>
      <c r="AP314">
        <v>61.072000000000003</v>
      </c>
      <c r="AQ314">
        <v>60.209000000000003</v>
      </c>
      <c r="AR314">
        <v>54.71</v>
      </c>
      <c r="AS314">
        <v>53.225999999999999</v>
      </c>
      <c r="AT314">
        <v>51.426000000000002</v>
      </c>
      <c r="AU314">
        <v>48.963999999999999</v>
      </c>
      <c r="AV314">
        <v>47.088000000000001</v>
      </c>
      <c r="AW314">
        <v>45.459000000000003</v>
      </c>
    </row>
    <row r="315" spans="1:49" x14ac:dyDescent="0.35">
      <c r="A315" t="s">
        <v>9</v>
      </c>
      <c r="B315" t="s">
        <v>123</v>
      </c>
      <c r="C315" t="s">
        <v>124</v>
      </c>
      <c r="D315" t="s">
        <v>31</v>
      </c>
      <c r="E315" t="s">
        <v>32</v>
      </c>
      <c r="F315" t="s">
        <v>167</v>
      </c>
      <c r="G315" t="s">
        <v>82</v>
      </c>
      <c r="H315" t="s">
        <v>82</v>
      </c>
      <c r="I315" t="s">
        <v>82</v>
      </c>
      <c r="J315" t="s">
        <v>82</v>
      </c>
      <c r="K315" t="s">
        <v>82</v>
      </c>
      <c r="L315" t="s">
        <v>82</v>
      </c>
      <c r="M315" t="s">
        <v>82</v>
      </c>
      <c r="N315" t="s">
        <v>82</v>
      </c>
      <c r="O315" t="s">
        <v>82</v>
      </c>
      <c r="P315" t="s">
        <v>82</v>
      </c>
      <c r="Q315" t="s">
        <v>82</v>
      </c>
      <c r="R315" t="s">
        <v>82</v>
      </c>
      <c r="S315" t="s">
        <v>82</v>
      </c>
      <c r="T315" t="s">
        <v>82</v>
      </c>
      <c r="U315" t="s">
        <v>82</v>
      </c>
      <c r="V315" t="s">
        <v>82</v>
      </c>
      <c r="W315" t="s">
        <v>82</v>
      </c>
      <c r="X315" t="s">
        <v>82</v>
      </c>
      <c r="Y315" t="s">
        <v>82</v>
      </c>
      <c r="Z315" t="s">
        <v>82</v>
      </c>
      <c r="AA315" t="s">
        <v>82</v>
      </c>
      <c r="AB315" t="s">
        <v>82</v>
      </c>
      <c r="AC315">
        <v>279.21800000000002</v>
      </c>
      <c r="AD315">
        <v>290.37099999999998</v>
      </c>
      <c r="AE315">
        <v>345.62099999999998</v>
      </c>
      <c r="AF315">
        <v>405.74700000000001</v>
      </c>
      <c r="AG315">
        <v>488.35700000000003</v>
      </c>
      <c r="AH315">
        <v>582.10299999999995</v>
      </c>
      <c r="AI315">
        <v>684.072</v>
      </c>
      <c r="AJ315">
        <v>810.85299999999995</v>
      </c>
      <c r="AK315">
        <v>960.65899999999999</v>
      </c>
      <c r="AL315" s="27">
        <v>1150.04</v>
      </c>
      <c r="AM315" s="27">
        <v>1377.24</v>
      </c>
      <c r="AN315" s="27">
        <v>1717.16</v>
      </c>
      <c r="AO315" s="27">
        <v>2241.91</v>
      </c>
      <c r="AP315" s="27">
        <v>2847.42</v>
      </c>
      <c r="AQ315" s="27">
        <v>3532.12</v>
      </c>
      <c r="AR315" s="27">
        <v>4231.37</v>
      </c>
      <c r="AS315" s="27">
        <v>4891.96</v>
      </c>
      <c r="AT315" s="27">
        <v>5553.1</v>
      </c>
      <c r="AU315" s="27">
        <v>6272.36</v>
      </c>
      <c r="AV315" s="27">
        <v>7017.4</v>
      </c>
      <c r="AW315" s="27">
        <v>7722.5</v>
      </c>
    </row>
    <row r="316" spans="1:49" x14ac:dyDescent="0.35">
      <c r="A316" t="s">
        <v>9</v>
      </c>
      <c r="B316" t="s">
        <v>125</v>
      </c>
      <c r="C316" t="s">
        <v>126</v>
      </c>
      <c r="D316" t="s">
        <v>41</v>
      </c>
      <c r="E316" t="s">
        <v>32</v>
      </c>
      <c r="F316" t="s">
        <v>168</v>
      </c>
      <c r="G316">
        <v>-0.26</v>
      </c>
      <c r="H316">
        <v>-0.14599999999999999</v>
      </c>
      <c r="I316">
        <v>-0.112</v>
      </c>
      <c r="J316">
        <v>-0.13100000000000001</v>
      </c>
      <c r="K316">
        <v>-4.2000000000000003E-2</v>
      </c>
      <c r="L316">
        <v>-0.126</v>
      </c>
      <c r="M316">
        <v>-8.5000000000000006E-2</v>
      </c>
      <c r="N316">
        <v>-6.0999999999999999E-2</v>
      </c>
      <c r="O316">
        <v>-8.6999999999999994E-2</v>
      </c>
      <c r="P316">
        <v>-5.0999999999999997E-2</v>
      </c>
      <c r="Q316">
        <v>-8.5999999999999993E-2</v>
      </c>
      <c r="R316">
        <v>-0.22800000000000001</v>
      </c>
      <c r="S316">
        <v>-0.28499999999999998</v>
      </c>
      <c r="T316">
        <v>-0.16600000000000001</v>
      </c>
      <c r="U316">
        <v>-0.18099999999999999</v>
      </c>
      <c r="V316">
        <v>-7.8E-2</v>
      </c>
      <c r="W316">
        <v>-0.14699999999999999</v>
      </c>
      <c r="X316">
        <v>-0.27600000000000002</v>
      </c>
      <c r="Y316">
        <v>-4.0000000000000001E-3</v>
      </c>
      <c r="Z316">
        <v>-0.158</v>
      </c>
      <c r="AA316">
        <v>-7.2999999999999995E-2</v>
      </c>
      <c r="AB316">
        <v>-0.06</v>
      </c>
      <c r="AC316">
        <v>-0.47299999999999998</v>
      </c>
      <c r="AD316">
        <v>-0.33100000000000002</v>
      </c>
      <c r="AE316">
        <v>-0.36299999999999999</v>
      </c>
      <c r="AF316">
        <v>-0.48599999999999999</v>
      </c>
      <c r="AG316">
        <v>-0.69699999999999995</v>
      </c>
      <c r="AH316">
        <v>-0.36399999999999999</v>
      </c>
      <c r="AI316">
        <v>-0.80300000000000005</v>
      </c>
      <c r="AJ316">
        <v>-0.63200000000000001</v>
      </c>
      <c r="AK316">
        <v>-0.59699999999999998</v>
      </c>
      <c r="AL316">
        <v>-0.68799999999999994</v>
      </c>
      <c r="AM316">
        <v>-0.55400000000000005</v>
      </c>
      <c r="AN316">
        <v>-0.45700000000000002</v>
      </c>
      <c r="AO316">
        <v>-0.50600000000000001</v>
      </c>
      <c r="AP316">
        <v>-0.60799999999999998</v>
      </c>
      <c r="AQ316">
        <v>-0.73899999999999999</v>
      </c>
      <c r="AR316">
        <v>-0.56799999999999995</v>
      </c>
      <c r="AS316">
        <v>-0.54200000000000004</v>
      </c>
      <c r="AT316">
        <v>-0.55600000000000005</v>
      </c>
      <c r="AU316">
        <v>-0.59599999999999997</v>
      </c>
      <c r="AV316">
        <v>-0.63200000000000001</v>
      </c>
      <c r="AW316">
        <v>-0.65500000000000003</v>
      </c>
    </row>
    <row r="317" spans="1:49" x14ac:dyDescent="0.35">
      <c r="A317" t="s">
        <v>9</v>
      </c>
      <c r="B317" t="s">
        <v>125</v>
      </c>
      <c r="C317" t="s">
        <v>126</v>
      </c>
      <c r="D317" t="s">
        <v>70</v>
      </c>
      <c r="F317" t="s">
        <v>128</v>
      </c>
      <c r="G317">
        <v>-12.097</v>
      </c>
      <c r="H317">
        <v>-6.7830000000000004</v>
      </c>
      <c r="I317">
        <v>-5.4580000000000002</v>
      </c>
      <c r="J317">
        <v>-6.1680000000000001</v>
      </c>
      <c r="K317">
        <v>-1.9930000000000001</v>
      </c>
      <c r="L317">
        <v>-6.4429999999999996</v>
      </c>
      <c r="M317">
        <v>-4.1440000000000001</v>
      </c>
      <c r="N317">
        <v>-3.0110000000000001</v>
      </c>
      <c r="O317">
        <v>-3.754</v>
      </c>
      <c r="P317">
        <v>-1.9419999999999999</v>
      </c>
      <c r="Q317">
        <v>-2.8740000000000001</v>
      </c>
      <c r="R317">
        <v>-5.9589999999999996</v>
      </c>
      <c r="S317">
        <v>-9.1300000000000008</v>
      </c>
      <c r="T317">
        <v>-4.6109999999999998</v>
      </c>
      <c r="U317">
        <v>-8.6839999999999993</v>
      </c>
      <c r="V317">
        <v>-3.22</v>
      </c>
      <c r="W317">
        <v>-3.7269999999999999</v>
      </c>
      <c r="X317">
        <v>-5.98</v>
      </c>
      <c r="Y317">
        <v>-0.14399999999999999</v>
      </c>
      <c r="Z317">
        <v>-5.1159999999999997</v>
      </c>
      <c r="AA317">
        <v>-2.431</v>
      </c>
      <c r="AB317">
        <v>-2.02</v>
      </c>
      <c r="AC317">
        <v>-13.529</v>
      </c>
      <c r="AD317">
        <v>-10.298999999999999</v>
      </c>
      <c r="AE317">
        <v>-10.439</v>
      </c>
      <c r="AF317">
        <v>-13.28</v>
      </c>
      <c r="AG317">
        <v>-17.420999999999999</v>
      </c>
      <c r="AH317">
        <v>-8.2230000000000008</v>
      </c>
      <c r="AI317">
        <v>-15.099</v>
      </c>
      <c r="AJ317">
        <v>-10.199</v>
      </c>
      <c r="AK317">
        <v>-8.5839999999999996</v>
      </c>
      <c r="AL317">
        <v>-8.6129999999999995</v>
      </c>
      <c r="AM317">
        <v>-9.2579999999999991</v>
      </c>
      <c r="AN317">
        <v>-8.4079999999999995</v>
      </c>
      <c r="AO317">
        <v>-8.3629999999999995</v>
      </c>
      <c r="AP317">
        <v>-9.4939999999999998</v>
      </c>
      <c r="AQ317">
        <v>-13.47</v>
      </c>
      <c r="AR317">
        <v>-9.08</v>
      </c>
      <c r="AS317">
        <v>-8.0510000000000002</v>
      </c>
      <c r="AT317">
        <v>-7.8179999999999996</v>
      </c>
      <c r="AU317">
        <v>-7.8029999999999999</v>
      </c>
      <c r="AV317">
        <v>-7.68</v>
      </c>
      <c r="AW317">
        <v>-7.3760000000000003</v>
      </c>
    </row>
    <row r="318" spans="1:49" x14ac:dyDescent="0.35">
      <c r="A318" t="s">
        <v>10</v>
      </c>
      <c r="B318" t="s">
        <v>29</v>
      </c>
      <c r="C318" t="s">
        <v>30</v>
      </c>
      <c r="D318" t="s">
        <v>31</v>
      </c>
      <c r="E318" t="s">
        <v>32</v>
      </c>
      <c r="F318" t="s">
        <v>169</v>
      </c>
      <c r="G318">
        <v>57.334000000000003</v>
      </c>
      <c r="H318">
        <v>60.707000000000001</v>
      </c>
      <c r="I318">
        <v>64.043999999999997</v>
      </c>
      <c r="J318">
        <v>64.290000000000006</v>
      </c>
      <c r="K318">
        <v>67.358999999999995</v>
      </c>
      <c r="L318">
        <v>71.991</v>
      </c>
      <c r="M318">
        <v>79.004999999999995</v>
      </c>
      <c r="N318">
        <v>87.034000000000006</v>
      </c>
      <c r="O318">
        <v>92.944999999999993</v>
      </c>
      <c r="P318">
        <v>97.094999999999999</v>
      </c>
      <c r="Q318">
        <v>104.07299999999999</v>
      </c>
      <c r="R318">
        <v>108.68899999999999</v>
      </c>
      <c r="S318">
        <v>115.767</v>
      </c>
      <c r="T318">
        <v>121.651</v>
      </c>
      <c r="U318">
        <v>126.682</v>
      </c>
      <c r="V318">
        <v>132.114</v>
      </c>
      <c r="W318">
        <v>139.49700000000001</v>
      </c>
      <c r="X318">
        <v>147.43</v>
      </c>
      <c r="Y318">
        <v>156.38200000000001</v>
      </c>
      <c r="Z318">
        <v>160.465</v>
      </c>
      <c r="AA318">
        <v>173.61099999999999</v>
      </c>
      <c r="AB318">
        <v>179.191</v>
      </c>
      <c r="AC318">
        <v>182.10599999999999</v>
      </c>
      <c r="AD318">
        <v>193.00399999999999</v>
      </c>
      <c r="AE318">
        <v>201.30199999999999</v>
      </c>
      <c r="AF318">
        <v>204.226</v>
      </c>
      <c r="AG318">
        <v>213.44399999999999</v>
      </c>
      <c r="AH318">
        <v>226.01599999999999</v>
      </c>
      <c r="AI318">
        <v>238.47300000000001</v>
      </c>
      <c r="AJ318">
        <v>245.744</v>
      </c>
      <c r="AK318">
        <v>255.82</v>
      </c>
      <c r="AL318">
        <v>265.77100000000002</v>
      </c>
      <c r="AM318">
        <v>274.334</v>
      </c>
      <c r="AN318">
        <v>283.08300000000003</v>
      </c>
      <c r="AO318">
        <v>293.34199999999998</v>
      </c>
      <c r="AP318">
        <v>303.60899999999998</v>
      </c>
      <c r="AQ318">
        <v>315.45</v>
      </c>
      <c r="AR318">
        <v>327.75200000000001</v>
      </c>
      <c r="AS318">
        <v>340.83199999999999</v>
      </c>
      <c r="AT318">
        <v>354.82600000000002</v>
      </c>
      <c r="AU318">
        <v>369.39100000000002</v>
      </c>
      <c r="AV318">
        <v>384.43</v>
      </c>
      <c r="AW318">
        <v>400.08100000000002</v>
      </c>
    </row>
    <row r="319" spans="1:49" x14ac:dyDescent="0.35">
      <c r="A319" t="s">
        <v>10</v>
      </c>
      <c r="B319" t="s">
        <v>29</v>
      </c>
      <c r="C319" t="s">
        <v>34</v>
      </c>
      <c r="D319" t="s">
        <v>35</v>
      </c>
      <c r="F319" t="s">
        <v>36</v>
      </c>
      <c r="G319">
        <v>-10.06</v>
      </c>
      <c r="H319">
        <v>5.8819999999999997</v>
      </c>
      <c r="I319">
        <v>5.4969999999999999</v>
      </c>
      <c r="J319">
        <v>0.38400000000000001</v>
      </c>
      <c r="K319">
        <v>4.7750000000000004</v>
      </c>
      <c r="L319">
        <v>6.8760000000000003</v>
      </c>
      <c r="M319">
        <v>9.7420000000000009</v>
      </c>
      <c r="N319">
        <v>10.163</v>
      </c>
      <c r="O319">
        <v>6.7910000000000004</v>
      </c>
      <c r="P319">
        <v>4.4649999999999999</v>
      </c>
      <c r="Q319">
        <v>7.1870000000000003</v>
      </c>
      <c r="R319">
        <v>4.4349999999999996</v>
      </c>
      <c r="S319">
        <v>6.5129999999999999</v>
      </c>
      <c r="T319">
        <v>5.0819999999999999</v>
      </c>
      <c r="U319">
        <v>4.1360000000000001</v>
      </c>
      <c r="V319">
        <v>4.2880000000000003</v>
      </c>
      <c r="W319">
        <v>5.5880000000000001</v>
      </c>
      <c r="X319">
        <v>5.6870000000000003</v>
      </c>
      <c r="Y319">
        <v>6.0720000000000001</v>
      </c>
      <c r="Z319">
        <v>2.6110000000000002</v>
      </c>
      <c r="AA319">
        <v>8.1920000000000002</v>
      </c>
      <c r="AB319">
        <v>3.214</v>
      </c>
      <c r="AC319">
        <v>1.627</v>
      </c>
      <c r="AD319">
        <v>5.984</v>
      </c>
      <c r="AE319">
        <v>4.2990000000000004</v>
      </c>
      <c r="AF319">
        <v>1.4530000000000001</v>
      </c>
      <c r="AG319">
        <v>4.5140000000000002</v>
      </c>
      <c r="AH319">
        <v>5.89</v>
      </c>
      <c r="AI319">
        <v>5.5119999999999996</v>
      </c>
      <c r="AJ319">
        <v>3.0489999999999999</v>
      </c>
      <c r="AK319">
        <v>4.0999999999999996</v>
      </c>
      <c r="AL319">
        <v>3.89</v>
      </c>
      <c r="AM319">
        <v>3.222</v>
      </c>
      <c r="AN319">
        <v>3.1890000000000001</v>
      </c>
      <c r="AO319">
        <v>3.6240000000000001</v>
      </c>
      <c r="AP319">
        <v>3.5</v>
      </c>
      <c r="AQ319">
        <v>3.9</v>
      </c>
      <c r="AR319">
        <v>3.9</v>
      </c>
      <c r="AS319">
        <v>3.9910000000000001</v>
      </c>
      <c r="AT319">
        <v>4.1059999999999999</v>
      </c>
      <c r="AU319">
        <v>4.1050000000000004</v>
      </c>
      <c r="AV319">
        <v>4.0709999999999997</v>
      </c>
      <c r="AW319">
        <v>4.0709999999999997</v>
      </c>
    </row>
    <row r="320" spans="1:49" x14ac:dyDescent="0.35">
      <c r="A320" t="s">
        <v>10</v>
      </c>
      <c r="B320" t="s">
        <v>37</v>
      </c>
      <c r="C320" t="s">
        <v>38</v>
      </c>
      <c r="D320" t="s">
        <v>31</v>
      </c>
      <c r="E320" t="s">
        <v>32</v>
      </c>
      <c r="F320" t="s">
        <v>169</v>
      </c>
      <c r="G320">
        <v>9.0150000000000006</v>
      </c>
      <c r="H320">
        <v>9.9570000000000007</v>
      </c>
      <c r="I320">
        <v>11.62</v>
      </c>
      <c r="J320">
        <v>13.247999999999999</v>
      </c>
      <c r="K320">
        <v>14.452999999999999</v>
      </c>
      <c r="L320">
        <v>16.378</v>
      </c>
      <c r="M320">
        <v>19.215</v>
      </c>
      <c r="N320">
        <v>23.352</v>
      </c>
      <c r="O320">
        <v>28.254999999999999</v>
      </c>
      <c r="P320">
        <v>32.948999999999998</v>
      </c>
      <c r="Q320">
        <v>38.521000000000001</v>
      </c>
      <c r="R320">
        <v>44.627000000000002</v>
      </c>
      <c r="S320">
        <v>49.968000000000004</v>
      </c>
      <c r="T320">
        <v>58.402000000000001</v>
      </c>
      <c r="U320">
        <v>65.968000000000004</v>
      </c>
      <c r="V320">
        <v>72.933000000000007</v>
      </c>
      <c r="W320">
        <v>77.841999999999999</v>
      </c>
      <c r="X320">
        <v>85.765000000000001</v>
      </c>
      <c r="Y320">
        <v>98.706999999999994</v>
      </c>
      <c r="Z320">
        <v>109.4</v>
      </c>
      <c r="AA320">
        <v>122.41</v>
      </c>
      <c r="AB320">
        <v>134.392</v>
      </c>
      <c r="AC320">
        <v>145.05500000000001</v>
      </c>
      <c r="AD320">
        <v>162.29</v>
      </c>
      <c r="AE320">
        <v>180.90799999999999</v>
      </c>
      <c r="AF320">
        <v>191.393</v>
      </c>
      <c r="AG320">
        <v>213.44399999999999</v>
      </c>
      <c r="AH320">
        <v>243.99799999999999</v>
      </c>
      <c r="AI320">
        <v>274.31599999999997</v>
      </c>
      <c r="AJ320">
        <v>282.35399999999998</v>
      </c>
      <c r="AK320">
        <v>299.17099999999999</v>
      </c>
      <c r="AL320">
        <v>323.31</v>
      </c>
      <c r="AM320">
        <v>343.94200000000001</v>
      </c>
      <c r="AN320">
        <v>366.32499999999999</v>
      </c>
      <c r="AO320">
        <v>386.22899999999998</v>
      </c>
      <c r="AP320">
        <v>403.536</v>
      </c>
      <c r="AQ320">
        <v>431.82299999999998</v>
      </c>
      <c r="AR320">
        <v>453.15100000000001</v>
      </c>
      <c r="AS320">
        <v>484.9</v>
      </c>
      <c r="AT320">
        <v>521.46799999999996</v>
      </c>
      <c r="AU320">
        <v>560.24599999999998</v>
      </c>
      <c r="AV320">
        <v>600.54700000000003</v>
      </c>
      <c r="AW320">
        <v>643.74599999999998</v>
      </c>
    </row>
    <row r="321" spans="1:49" x14ac:dyDescent="0.35">
      <c r="A321" t="s">
        <v>10</v>
      </c>
      <c r="B321" t="s">
        <v>37</v>
      </c>
      <c r="C321" t="s">
        <v>40</v>
      </c>
      <c r="D321" t="s">
        <v>41</v>
      </c>
      <c r="E321" t="s">
        <v>32</v>
      </c>
      <c r="F321" t="s">
        <v>42</v>
      </c>
      <c r="G321">
        <v>1.173</v>
      </c>
      <c r="H321">
        <v>1.115</v>
      </c>
      <c r="I321">
        <v>1.069</v>
      </c>
      <c r="J321">
        <v>1.1319999999999999</v>
      </c>
      <c r="K321">
        <v>1.0469999999999999</v>
      </c>
      <c r="L321">
        <v>1.0609999999999999</v>
      </c>
      <c r="M321">
        <v>1.4319999999999999</v>
      </c>
      <c r="N321">
        <v>1.8129999999999999</v>
      </c>
      <c r="O321">
        <v>2.1030000000000002</v>
      </c>
      <c r="P321">
        <v>2.161</v>
      </c>
      <c r="Q321">
        <v>2.5960000000000001</v>
      </c>
      <c r="R321">
        <v>2.851</v>
      </c>
      <c r="S321">
        <v>3.2109999999999999</v>
      </c>
      <c r="T321">
        <v>3.3090000000000002</v>
      </c>
      <c r="U321">
        <v>3.673</v>
      </c>
      <c r="V321">
        <v>4.1950000000000003</v>
      </c>
      <c r="W321">
        <v>4.3369999999999997</v>
      </c>
      <c r="X321">
        <v>4.0730000000000004</v>
      </c>
      <c r="Y321">
        <v>4.1139999999999999</v>
      </c>
      <c r="Z321">
        <v>4.3440000000000003</v>
      </c>
      <c r="AA321">
        <v>4.6630000000000003</v>
      </c>
      <c r="AB321">
        <v>4.6139999999999999</v>
      </c>
      <c r="AC321">
        <v>4.8410000000000002</v>
      </c>
      <c r="AD321">
        <v>5.8170000000000002</v>
      </c>
      <c r="AE321">
        <v>6.5789999999999997</v>
      </c>
      <c r="AF321">
        <v>6.4889999999999999</v>
      </c>
      <c r="AG321">
        <v>6.7320000000000002</v>
      </c>
      <c r="AH321">
        <v>7.7919999999999998</v>
      </c>
      <c r="AI321">
        <v>9.641</v>
      </c>
      <c r="AJ321">
        <v>8.8350000000000009</v>
      </c>
      <c r="AK321">
        <v>9.718</v>
      </c>
      <c r="AL321">
        <v>11.263</v>
      </c>
      <c r="AM321">
        <v>11.446</v>
      </c>
      <c r="AN321">
        <v>11.932</v>
      </c>
      <c r="AO321">
        <v>12.613</v>
      </c>
      <c r="AP321">
        <v>11.510999999999999</v>
      </c>
      <c r="AQ321">
        <v>12.15</v>
      </c>
      <c r="AR321">
        <v>12.273</v>
      </c>
      <c r="AS321">
        <v>12.874000000000001</v>
      </c>
      <c r="AT321">
        <v>13.595000000000001</v>
      </c>
      <c r="AU321">
        <v>14.356999999999999</v>
      </c>
      <c r="AV321">
        <v>15.114000000000001</v>
      </c>
      <c r="AW321">
        <v>15.928000000000001</v>
      </c>
    </row>
    <row r="322" spans="1:49" x14ac:dyDescent="0.35">
      <c r="A322" t="s">
        <v>10</v>
      </c>
      <c r="B322" t="s">
        <v>37</v>
      </c>
      <c r="C322" t="s">
        <v>43</v>
      </c>
      <c r="D322" t="s">
        <v>44</v>
      </c>
      <c r="E322" t="s">
        <v>32</v>
      </c>
      <c r="F322" t="s">
        <v>42</v>
      </c>
      <c r="G322">
        <v>1.879</v>
      </c>
      <c r="H322">
        <v>2.1760000000000002</v>
      </c>
      <c r="I322">
        <v>2.4380000000000002</v>
      </c>
      <c r="J322">
        <v>2.544</v>
      </c>
      <c r="K322">
        <v>2.76</v>
      </c>
      <c r="L322">
        <v>3.044</v>
      </c>
      <c r="M322">
        <v>3.4079999999999999</v>
      </c>
      <c r="N322">
        <v>3.85</v>
      </c>
      <c r="O322">
        <v>4.2549999999999999</v>
      </c>
      <c r="P322">
        <v>4.6180000000000003</v>
      </c>
      <c r="Q322">
        <v>5.133</v>
      </c>
      <c r="R322">
        <v>5.5389999999999997</v>
      </c>
      <c r="S322">
        <v>6.0350000000000001</v>
      </c>
      <c r="T322">
        <v>6.492</v>
      </c>
      <c r="U322">
        <v>6.9050000000000002</v>
      </c>
      <c r="V322">
        <v>7.351</v>
      </c>
      <c r="W322">
        <v>7.9029999999999996</v>
      </c>
      <c r="X322">
        <v>8.4960000000000004</v>
      </c>
      <c r="Y322">
        <v>9.109</v>
      </c>
      <c r="Z322">
        <v>9.49</v>
      </c>
      <c r="AA322">
        <v>10.500999999999999</v>
      </c>
      <c r="AB322">
        <v>11.086</v>
      </c>
      <c r="AC322">
        <v>11.439</v>
      </c>
      <c r="AD322">
        <v>12.365</v>
      </c>
      <c r="AE322">
        <v>13.252000000000001</v>
      </c>
      <c r="AF322">
        <v>13.877000000000001</v>
      </c>
      <c r="AG322">
        <v>14.949</v>
      </c>
      <c r="AH322">
        <v>16.251000000000001</v>
      </c>
      <c r="AI322">
        <v>17.483000000000001</v>
      </c>
      <c r="AJ322">
        <v>18.152000000000001</v>
      </c>
      <c r="AK322">
        <v>19.128</v>
      </c>
      <c r="AL322">
        <v>20.282</v>
      </c>
      <c r="AM322">
        <v>21.321000000000002</v>
      </c>
      <c r="AN322">
        <v>22.356000000000002</v>
      </c>
      <c r="AO322">
        <v>23.582000000000001</v>
      </c>
      <c r="AP322">
        <v>24.672000000000001</v>
      </c>
      <c r="AQ322">
        <v>25.960999999999999</v>
      </c>
      <c r="AR322">
        <v>27.443999999999999</v>
      </c>
      <c r="AS322">
        <v>29.093</v>
      </c>
      <c r="AT322">
        <v>30.934000000000001</v>
      </c>
      <c r="AU322">
        <v>32.881</v>
      </c>
      <c r="AV322">
        <v>34.93</v>
      </c>
      <c r="AW322">
        <v>37.052</v>
      </c>
    </row>
    <row r="323" spans="1:49" x14ac:dyDescent="0.35">
      <c r="A323" t="s">
        <v>10</v>
      </c>
      <c r="B323" t="s">
        <v>45</v>
      </c>
      <c r="C323" t="s">
        <v>46</v>
      </c>
      <c r="D323" t="s">
        <v>47</v>
      </c>
      <c r="F323" t="s">
        <v>48</v>
      </c>
      <c r="G323">
        <v>15.724</v>
      </c>
      <c r="H323">
        <v>16.402000000000001</v>
      </c>
      <c r="I323">
        <v>18.145</v>
      </c>
      <c r="J323">
        <v>20.608000000000001</v>
      </c>
      <c r="K323">
        <v>21.456</v>
      </c>
      <c r="L323">
        <v>22.75</v>
      </c>
      <c r="M323">
        <v>24.321999999999999</v>
      </c>
      <c r="N323">
        <v>26.831</v>
      </c>
      <c r="O323">
        <v>30.4</v>
      </c>
      <c r="P323">
        <v>33.935000000000002</v>
      </c>
      <c r="Q323">
        <v>37.012999999999998</v>
      </c>
      <c r="R323">
        <v>41.06</v>
      </c>
      <c r="S323">
        <v>43.162999999999997</v>
      </c>
      <c r="T323">
        <v>48.008000000000003</v>
      </c>
      <c r="U323">
        <v>52.073999999999998</v>
      </c>
      <c r="V323">
        <v>55.204000000000001</v>
      </c>
      <c r="W323">
        <v>55.802</v>
      </c>
      <c r="X323">
        <v>58.173000000000002</v>
      </c>
      <c r="Y323">
        <v>63.119</v>
      </c>
      <c r="Z323">
        <v>68.177000000000007</v>
      </c>
      <c r="AA323">
        <v>70.507999999999996</v>
      </c>
      <c r="AB323">
        <v>74.998999999999995</v>
      </c>
      <c r="AC323">
        <v>79.653999999999996</v>
      </c>
      <c r="AD323">
        <v>84.087000000000003</v>
      </c>
      <c r="AE323">
        <v>89.869</v>
      </c>
      <c r="AF323">
        <v>93.715999999999994</v>
      </c>
      <c r="AG323">
        <v>100</v>
      </c>
      <c r="AH323">
        <v>107.956</v>
      </c>
      <c r="AI323">
        <v>115.03</v>
      </c>
      <c r="AJ323">
        <v>114.898</v>
      </c>
      <c r="AK323">
        <v>116.946</v>
      </c>
      <c r="AL323">
        <v>121.65</v>
      </c>
      <c r="AM323">
        <v>125.373</v>
      </c>
      <c r="AN323">
        <v>129.40600000000001</v>
      </c>
      <c r="AO323">
        <v>131.66499999999999</v>
      </c>
      <c r="AP323">
        <v>132.91300000000001</v>
      </c>
      <c r="AQ323">
        <v>136.89099999999999</v>
      </c>
      <c r="AR323">
        <v>138.26</v>
      </c>
      <c r="AS323">
        <v>142.27000000000001</v>
      </c>
      <c r="AT323">
        <v>146.965</v>
      </c>
      <c r="AU323">
        <v>151.667</v>
      </c>
      <c r="AV323">
        <v>156.21700000000001</v>
      </c>
      <c r="AW323">
        <v>160.904</v>
      </c>
    </row>
    <row r="324" spans="1:49" x14ac:dyDescent="0.35">
      <c r="A324" t="s">
        <v>10</v>
      </c>
      <c r="B324" t="s">
        <v>49</v>
      </c>
      <c r="C324" t="s">
        <v>50</v>
      </c>
      <c r="D324" t="s">
        <v>31</v>
      </c>
      <c r="E324" t="s">
        <v>26</v>
      </c>
      <c r="F324" t="s">
        <v>51</v>
      </c>
      <c r="G324" s="27">
        <v>59349.61</v>
      </c>
      <c r="H324" s="27">
        <v>61916.35</v>
      </c>
      <c r="I324" s="27">
        <v>64526.31</v>
      </c>
      <c r="J324" s="27">
        <v>64180.98</v>
      </c>
      <c r="K324" s="27">
        <v>66545.98</v>
      </c>
      <c r="L324" s="27">
        <v>70543.039999999994</v>
      </c>
      <c r="M324" s="27">
        <v>76825.77</v>
      </c>
      <c r="N324" s="27">
        <v>84002.91</v>
      </c>
      <c r="O324" s="27">
        <v>89092.41</v>
      </c>
      <c r="P324" s="27">
        <v>92360.41</v>
      </c>
      <c r="Q324" s="27">
        <v>98295.43</v>
      </c>
      <c r="R324" s="27">
        <v>101553.11</v>
      </c>
      <c r="S324" s="27">
        <v>106753.08</v>
      </c>
      <c r="T324" s="27">
        <v>110856.27</v>
      </c>
      <c r="U324" s="27">
        <v>113836.45</v>
      </c>
      <c r="V324" s="27">
        <v>117700.94</v>
      </c>
      <c r="W324" s="27">
        <v>123013.3</v>
      </c>
      <c r="X324" s="27">
        <v>128391.95</v>
      </c>
      <c r="Y324" s="27">
        <v>134763.42000000001</v>
      </c>
      <c r="Z324" s="27">
        <v>136535.23000000001</v>
      </c>
      <c r="AA324" s="27">
        <v>146275.85999999999</v>
      </c>
      <c r="AB324" s="27">
        <v>149789.44</v>
      </c>
      <c r="AC324" s="27">
        <v>151173.26</v>
      </c>
      <c r="AD324" s="27">
        <v>159064.26</v>
      </c>
      <c r="AE324" s="27">
        <v>164866.03</v>
      </c>
      <c r="AF324" s="27">
        <v>166273.38</v>
      </c>
      <c r="AG324" s="27">
        <v>172969.83</v>
      </c>
      <c r="AH324" s="27">
        <v>182325.37</v>
      </c>
      <c r="AI324" s="27">
        <v>191679.91</v>
      </c>
      <c r="AJ324" s="27">
        <v>197000.39</v>
      </c>
      <c r="AK324" s="27">
        <v>204590.53</v>
      </c>
      <c r="AL324" s="27">
        <v>212208.68</v>
      </c>
      <c r="AM324" s="27">
        <v>218439.31</v>
      </c>
      <c r="AN324" s="27">
        <v>224909.49</v>
      </c>
      <c r="AO324" s="27">
        <v>232588.12</v>
      </c>
      <c r="AP324" s="27">
        <v>240413.44</v>
      </c>
      <c r="AQ324" s="27">
        <v>249600.22</v>
      </c>
      <c r="AR324" s="27">
        <v>258297.41</v>
      </c>
      <c r="AS324" s="27">
        <v>267531.01</v>
      </c>
      <c r="AT324" s="27">
        <v>277401.15000000002</v>
      </c>
      <c r="AU324" s="27">
        <v>287633.53999999998</v>
      </c>
      <c r="AV324" s="27">
        <v>298428.43</v>
      </c>
      <c r="AW324" s="27">
        <v>309628.46000000002</v>
      </c>
    </row>
    <row r="325" spans="1:49" x14ac:dyDescent="0.35">
      <c r="A325" t="s">
        <v>10</v>
      </c>
      <c r="B325" t="s">
        <v>49</v>
      </c>
      <c r="C325" t="s">
        <v>52</v>
      </c>
      <c r="D325" t="s">
        <v>53</v>
      </c>
      <c r="E325" t="s">
        <v>26</v>
      </c>
      <c r="F325" t="s">
        <v>51</v>
      </c>
      <c r="G325" s="27">
        <v>4529.1400000000003</v>
      </c>
      <c r="H325" s="27">
        <v>4725.0200000000004</v>
      </c>
      <c r="I325" s="27">
        <v>4924.1899999999996</v>
      </c>
      <c r="J325" s="27">
        <v>4897.84</v>
      </c>
      <c r="K325" s="27">
        <v>5078.32</v>
      </c>
      <c r="L325" s="27">
        <v>5383.35</v>
      </c>
      <c r="M325" s="27">
        <v>5862.8</v>
      </c>
      <c r="N325" s="27">
        <v>6410.51</v>
      </c>
      <c r="O325" s="27">
        <v>6798.9</v>
      </c>
      <c r="P325" s="27">
        <v>7048.29</v>
      </c>
      <c r="Q325" s="27">
        <v>7501.21</v>
      </c>
      <c r="R325" s="27">
        <v>7749.82</v>
      </c>
      <c r="S325" s="27">
        <v>8146.64</v>
      </c>
      <c r="T325" s="27">
        <v>8459.77</v>
      </c>
      <c r="U325" s="27">
        <v>8687.19</v>
      </c>
      <c r="V325" s="27">
        <v>8982.11</v>
      </c>
      <c r="W325" s="27">
        <v>9387.51</v>
      </c>
      <c r="X325" s="27">
        <v>9797.9699999999993</v>
      </c>
      <c r="Y325" s="27">
        <v>10284.19</v>
      </c>
      <c r="Z325" s="27">
        <v>10419.4</v>
      </c>
      <c r="AA325" s="27">
        <v>11162.74</v>
      </c>
      <c r="AB325" s="27">
        <v>11430.87</v>
      </c>
      <c r="AC325" s="27">
        <v>11536.48</v>
      </c>
      <c r="AD325" s="27">
        <v>12138.66</v>
      </c>
      <c r="AE325" s="27">
        <v>12581.41</v>
      </c>
      <c r="AF325" s="27">
        <v>12688.81</v>
      </c>
      <c r="AG325" s="27">
        <v>13199.84</v>
      </c>
      <c r="AH325" s="27">
        <v>13913.79</v>
      </c>
      <c r="AI325" s="27">
        <v>14627.66</v>
      </c>
      <c r="AJ325" s="27">
        <v>15033.68</v>
      </c>
      <c r="AK325" s="27">
        <v>15612.91</v>
      </c>
      <c r="AL325" s="27">
        <v>16194.27</v>
      </c>
      <c r="AM325" s="27">
        <v>16669.75</v>
      </c>
      <c r="AN325" s="27">
        <v>17163.5</v>
      </c>
      <c r="AO325" s="27">
        <v>17749.48</v>
      </c>
      <c r="AP325" s="27">
        <v>18346.66</v>
      </c>
      <c r="AQ325" s="27">
        <v>19047.73</v>
      </c>
      <c r="AR325" s="27">
        <v>19711.439999999999</v>
      </c>
      <c r="AS325" s="27">
        <v>20416.080000000002</v>
      </c>
      <c r="AT325" s="27">
        <v>21169.3</v>
      </c>
      <c r="AU325" s="27">
        <v>21950.16</v>
      </c>
      <c r="AV325" s="27">
        <v>22773.95</v>
      </c>
      <c r="AW325" s="27">
        <v>23628.66</v>
      </c>
    </row>
    <row r="326" spans="1:49" x14ac:dyDescent="0.35">
      <c r="A326" t="s">
        <v>10</v>
      </c>
      <c r="B326" t="s">
        <v>54</v>
      </c>
      <c r="C326" t="s">
        <v>55</v>
      </c>
      <c r="D326" t="s">
        <v>31</v>
      </c>
      <c r="E326" t="s">
        <v>26</v>
      </c>
      <c r="F326" t="s">
        <v>56</v>
      </c>
      <c r="G326" s="27">
        <v>9332.3700000000008</v>
      </c>
      <c r="H326" s="27">
        <v>10155.469999999999</v>
      </c>
      <c r="I326" s="27">
        <v>11708.05</v>
      </c>
      <c r="J326" s="27">
        <v>13226.11</v>
      </c>
      <c r="K326" s="27">
        <v>14278.15</v>
      </c>
      <c r="L326" s="27">
        <v>16048.55</v>
      </c>
      <c r="M326" s="27">
        <v>18685.189999999999</v>
      </c>
      <c r="N326" s="27">
        <v>22538.71</v>
      </c>
      <c r="O326" s="27">
        <v>27084.25</v>
      </c>
      <c r="P326" s="27">
        <v>31342.560000000001</v>
      </c>
      <c r="Q326" s="27">
        <v>36382.239999999998</v>
      </c>
      <c r="R326" s="27">
        <v>41697.53</v>
      </c>
      <c r="S326" s="27">
        <v>46077.440000000002</v>
      </c>
      <c r="T326" s="27">
        <v>53219.77</v>
      </c>
      <c r="U326" s="27">
        <v>59279.09</v>
      </c>
      <c r="V326" s="27">
        <v>64975.83</v>
      </c>
      <c r="W326" s="27">
        <v>68643.820000000007</v>
      </c>
      <c r="X326" s="27">
        <v>74689.919999999998</v>
      </c>
      <c r="Y326" s="27">
        <v>85061.13</v>
      </c>
      <c r="Z326" s="27">
        <v>93085.03</v>
      </c>
      <c r="AA326" s="27">
        <v>103136.6</v>
      </c>
      <c r="AB326" s="27">
        <v>112340.73</v>
      </c>
      <c r="AC326" s="27">
        <v>120415.67999999999</v>
      </c>
      <c r="AD326" s="27">
        <v>133751.85</v>
      </c>
      <c r="AE326" s="27">
        <v>148163.64000000001</v>
      </c>
      <c r="AF326" s="27">
        <v>155825.57</v>
      </c>
      <c r="AG326" s="27">
        <v>172969.77</v>
      </c>
      <c r="AH326" s="27">
        <v>196831.31</v>
      </c>
      <c r="AI326" s="27">
        <v>220489.81</v>
      </c>
      <c r="AJ326" s="27">
        <v>226348.75</v>
      </c>
      <c r="AK326" s="27">
        <v>239260.24</v>
      </c>
      <c r="AL326" s="27">
        <v>258151.52</v>
      </c>
      <c r="AM326" s="27">
        <v>273864.90000000002</v>
      </c>
      <c r="AN326" s="27">
        <v>291045.27</v>
      </c>
      <c r="AO326" s="27">
        <v>306237.34999999998</v>
      </c>
      <c r="AP326" s="27">
        <v>319540.84999999998</v>
      </c>
      <c r="AQ326" s="27">
        <v>341680.78</v>
      </c>
      <c r="AR326" s="27">
        <v>357122.33</v>
      </c>
      <c r="AS326" s="27">
        <v>380615.5</v>
      </c>
      <c r="AT326" s="27">
        <v>407681.41</v>
      </c>
      <c r="AU326" s="27">
        <v>436246.41</v>
      </c>
      <c r="AV326" s="27">
        <v>466197.32</v>
      </c>
      <c r="AW326" s="27">
        <v>498204.53</v>
      </c>
    </row>
    <row r="327" spans="1:49" x14ac:dyDescent="0.35">
      <c r="A327" t="s">
        <v>10</v>
      </c>
      <c r="B327" t="s">
        <v>54</v>
      </c>
      <c r="C327" t="s">
        <v>57</v>
      </c>
      <c r="D327" t="s">
        <v>41</v>
      </c>
      <c r="E327" t="s">
        <v>26</v>
      </c>
      <c r="F327" t="s">
        <v>56</v>
      </c>
      <c r="G327" s="27">
        <v>1214.49</v>
      </c>
      <c r="H327" s="27">
        <v>1136.79</v>
      </c>
      <c r="I327" s="27">
        <v>1076.8499999999999</v>
      </c>
      <c r="J327" s="27">
        <v>1129.8399999999999</v>
      </c>
      <c r="K327" s="27">
        <v>1034.73</v>
      </c>
      <c r="L327" s="27">
        <v>1039.3</v>
      </c>
      <c r="M327" s="27">
        <v>1392.58</v>
      </c>
      <c r="N327" s="27">
        <v>1750.11</v>
      </c>
      <c r="O327" s="27">
        <v>2015.56</v>
      </c>
      <c r="P327" s="27">
        <v>2055.4</v>
      </c>
      <c r="Q327" s="27">
        <v>2451.91</v>
      </c>
      <c r="R327" s="27">
        <v>2663.92</v>
      </c>
      <c r="S327" s="27">
        <v>2960.65</v>
      </c>
      <c r="T327" s="27">
        <v>3015.57</v>
      </c>
      <c r="U327" s="27">
        <v>3300.57</v>
      </c>
      <c r="V327" s="27">
        <v>3737.14</v>
      </c>
      <c r="W327" s="27">
        <v>3824.56</v>
      </c>
      <c r="X327" s="27">
        <v>3546.94</v>
      </c>
      <c r="Y327" s="27">
        <v>3545.28</v>
      </c>
      <c r="Z327" s="27">
        <v>3696.13</v>
      </c>
      <c r="AA327" s="27">
        <v>3929.19</v>
      </c>
      <c r="AB327" s="27">
        <v>3856.64</v>
      </c>
      <c r="AC327" s="27">
        <v>4019</v>
      </c>
      <c r="AD327" s="27">
        <v>4793.71</v>
      </c>
      <c r="AE327" s="27">
        <v>5388.06</v>
      </c>
      <c r="AF327" s="27">
        <v>5282.9</v>
      </c>
      <c r="AG327" s="27">
        <v>5455.07</v>
      </c>
      <c r="AH327" s="27">
        <v>6285.8</v>
      </c>
      <c r="AI327" s="27">
        <v>7749.31</v>
      </c>
      <c r="AJ327" s="27">
        <v>7082.3</v>
      </c>
      <c r="AK327" s="27">
        <v>7772.13</v>
      </c>
      <c r="AL327" s="27">
        <v>8992.9599999999991</v>
      </c>
      <c r="AM327" s="27">
        <v>9113.65</v>
      </c>
      <c r="AN327" s="27">
        <v>9479.8799999999992</v>
      </c>
      <c r="AO327" s="27">
        <v>10000.69</v>
      </c>
      <c r="AP327" s="27">
        <v>9114.9699999999993</v>
      </c>
      <c r="AQ327" s="27">
        <v>9613.4699999999993</v>
      </c>
      <c r="AR327" s="27">
        <v>9671.9</v>
      </c>
      <c r="AS327" s="27">
        <v>10105.1</v>
      </c>
      <c r="AT327" s="27">
        <v>10628.82</v>
      </c>
      <c r="AU327" s="27">
        <v>11179.64</v>
      </c>
      <c r="AV327" s="27">
        <v>11733.18</v>
      </c>
      <c r="AW327" s="27">
        <v>12327.26</v>
      </c>
    </row>
    <row r="328" spans="1:49" x14ac:dyDescent="0.35">
      <c r="A328" t="s">
        <v>10</v>
      </c>
      <c r="B328" t="s">
        <v>54</v>
      </c>
      <c r="C328" t="s">
        <v>58</v>
      </c>
      <c r="D328" t="s">
        <v>44</v>
      </c>
      <c r="E328" t="s">
        <v>26</v>
      </c>
      <c r="F328" t="s">
        <v>56</v>
      </c>
      <c r="G328" s="27">
        <v>1945.47</v>
      </c>
      <c r="H328" s="27">
        <v>2219.11</v>
      </c>
      <c r="I328" s="27">
        <v>2456.15</v>
      </c>
      <c r="J328" s="27">
        <v>2539.44</v>
      </c>
      <c r="K328" s="27">
        <v>2726.46</v>
      </c>
      <c r="L328" s="27">
        <v>2982.71</v>
      </c>
      <c r="M328" s="27">
        <v>3313.85</v>
      </c>
      <c r="N328" s="27">
        <v>3715.91</v>
      </c>
      <c r="O328" s="27">
        <v>4079</v>
      </c>
      <c r="P328" s="27">
        <v>4393.0600000000004</v>
      </c>
      <c r="Q328" s="27">
        <v>4848.28</v>
      </c>
      <c r="R328" s="27">
        <v>5175.6899999999996</v>
      </c>
      <c r="S328" s="27">
        <v>5564.74</v>
      </c>
      <c r="T328" s="27">
        <v>5916.1</v>
      </c>
      <c r="U328" s="27">
        <v>6204.44</v>
      </c>
      <c r="V328" s="27">
        <v>6548.86</v>
      </c>
      <c r="W328" s="27">
        <v>6969.35</v>
      </c>
      <c r="X328" s="27">
        <v>7398.63</v>
      </c>
      <c r="Y328" s="27">
        <v>7850.05</v>
      </c>
      <c r="Z328" s="27">
        <v>8074.98</v>
      </c>
      <c r="AA328" s="27">
        <v>8847.9</v>
      </c>
      <c r="AB328" s="27">
        <v>9266.91</v>
      </c>
      <c r="AC328" s="27">
        <v>9496.1</v>
      </c>
      <c r="AD328" s="27">
        <v>10191.02</v>
      </c>
      <c r="AE328" s="27">
        <v>10853.2</v>
      </c>
      <c r="AF328" s="27">
        <v>11298</v>
      </c>
      <c r="AG328" s="27">
        <v>12114.15</v>
      </c>
      <c r="AH328" s="27">
        <v>13109.17</v>
      </c>
      <c r="AI328" s="27">
        <v>14052.1</v>
      </c>
      <c r="AJ328" s="27">
        <v>14551.82</v>
      </c>
      <c r="AK328" s="27">
        <v>15297.13</v>
      </c>
      <c r="AL328" s="27">
        <v>16194.27</v>
      </c>
      <c r="AM328" s="27">
        <v>16976.82</v>
      </c>
      <c r="AN328" s="27">
        <v>17761.96</v>
      </c>
      <c r="AO328" s="27">
        <v>18698.04</v>
      </c>
      <c r="AP328" s="27">
        <v>19536.689999999999</v>
      </c>
      <c r="AQ328" s="27">
        <v>20542.03</v>
      </c>
      <c r="AR328" s="27">
        <v>21628.12</v>
      </c>
      <c r="AS328" s="27">
        <v>22836.080000000002</v>
      </c>
      <c r="AT328" s="27">
        <v>24183.88</v>
      </c>
      <c r="AU328" s="27">
        <v>25603.4</v>
      </c>
      <c r="AV328" s="27">
        <v>27116</v>
      </c>
      <c r="AW328" s="27">
        <v>28675.01</v>
      </c>
    </row>
    <row r="329" spans="1:49" x14ac:dyDescent="0.35">
      <c r="A329" t="s">
        <v>10</v>
      </c>
      <c r="B329" t="s">
        <v>59</v>
      </c>
      <c r="C329" t="s">
        <v>60</v>
      </c>
      <c r="D329" t="s">
        <v>61</v>
      </c>
    </row>
    <row r="330" spans="1:49" x14ac:dyDescent="0.35">
      <c r="A330" t="s">
        <v>10</v>
      </c>
      <c r="B330" t="s">
        <v>62</v>
      </c>
      <c r="C330" t="s">
        <v>63</v>
      </c>
      <c r="D330" t="s">
        <v>64</v>
      </c>
      <c r="F330" t="s">
        <v>42</v>
      </c>
      <c r="G330">
        <v>1.4E-2</v>
      </c>
      <c r="H330">
        <v>1.4999999999999999E-2</v>
      </c>
      <c r="I330">
        <v>1.6E-2</v>
      </c>
      <c r="J330">
        <v>1.4999999999999999E-2</v>
      </c>
      <c r="K330">
        <v>1.4999999999999999E-2</v>
      </c>
      <c r="L330">
        <v>1.6E-2</v>
      </c>
      <c r="M330">
        <v>1.7000000000000001E-2</v>
      </c>
      <c r="N330">
        <v>1.7999999999999999E-2</v>
      </c>
      <c r="O330">
        <v>1.7999999999999999E-2</v>
      </c>
      <c r="P330">
        <v>1.7999999999999999E-2</v>
      </c>
      <c r="Q330">
        <v>1.9E-2</v>
      </c>
      <c r="R330">
        <v>1.9E-2</v>
      </c>
      <c r="S330">
        <v>1.7999999999999999E-2</v>
      </c>
      <c r="T330">
        <v>1.9E-2</v>
      </c>
      <c r="U330">
        <v>1.9E-2</v>
      </c>
      <c r="V330">
        <v>1.9E-2</v>
      </c>
      <c r="W330">
        <v>0.02</v>
      </c>
      <c r="X330">
        <v>0.02</v>
      </c>
      <c r="Y330">
        <v>2.1000000000000001E-2</v>
      </c>
      <c r="Z330">
        <v>0.02</v>
      </c>
      <c r="AA330">
        <v>2.1000000000000001E-2</v>
      </c>
      <c r="AB330">
        <v>2.1000000000000001E-2</v>
      </c>
      <c r="AC330">
        <v>2.1000000000000001E-2</v>
      </c>
      <c r="AD330">
        <v>2.1000000000000001E-2</v>
      </c>
      <c r="AE330">
        <v>2.1000000000000001E-2</v>
      </c>
      <c r="AF330">
        <v>0.02</v>
      </c>
      <c r="AG330">
        <v>0.02</v>
      </c>
      <c r="AH330">
        <v>0.02</v>
      </c>
      <c r="AI330">
        <v>2.1000000000000001E-2</v>
      </c>
      <c r="AJ330">
        <v>2.1999999999999999E-2</v>
      </c>
      <c r="AK330">
        <v>2.1000000000000001E-2</v>
      </c>
      <c r="AL330">
        <v>2.1000000000000001E-2</v>
      </c>
      <c r="AM330">
        <v>2.1000000000000001E-2</v>
      </c>
      <c r="AN330">
        <v>2.1000000000000001E-2</v>
      </c>
      <c r="AO330">
        <v>2.1000000000000001E-2</v>
      </c>
      <c r="AP330">
        <v>2.1000000000000001E-2</v>
      </c>
      <c r="AQ330">
        <v>2.1999999999999999E-2</v>
      </c>
      <c r="AR330">
        <v>2.1999999999999999E-2</v>
      </c>
      <c r="AS330">
        <v>2.1999999999999999E-2</v>
      </c>
      <c r="AT330">
        <v>2.1999999999999999E-2</v>
      </c>
      <c r="AU330">
        <v>2.1999999999999999E-2</v>
      </c>
      <c r="AV330">
        <v>2.1999999999999999E-2</v>
      </c>
      <c r="AW330">
        <v>2.1999999999999999E-2</v>
      </c>
    </row>
    <row r="331" spans="1:49" x14ac:dyDescent="0.35">
      <c r="A331" t="s">
        <v>10</v>
      </c>
      <c r="B331" t="s">
        <v>65</v>
      </c>
      <c r="C331" t="s">
        <v>66</v>
      </c>
      <c r="D331" t="s">
        <v>67</v>
      </c>
      <c r="F331" t="s">
        <v>42</v>
      </c>
      <c r="G331">
        <v>4.7969999999999997</v>
      </c>
      <c r="H331">
        <v>4.5759999999999996</v>
      </c>
      <c r="I331">
        <v>4.7670000000000003</v>
      </c>
      <c r="J331">
        <v>5.2080000000000002</v>
      </c>
      <c r="K331">
        <v>5.2370000000000001</v>
      </c>
      <c r="L331">
        <v>5.3810000000000002</v>
      </c>
      <c r="M331">
        <v>5.6390000000000002</v>
      </c>
      <c r="N331">
        <v>6.0650000000000004</v>
      </c>
      <c r="O331">
        <v>6.64</v>
      </c>
      <c r="P331">
        <v>7.1349999999999998</v>
      </c>
      <c r="Q331">
        <v>7.5039999999999996</v>
      </c>
      <c r="R331">
        <v>8.0559999999999992</v>
      </c>
      <c r="S331">
        <v>8.2799999999999994</v>
      </c>
      <c r="T331">
        <v>8.9960000000000004</v>
      </c>
      <c r="U331">
        <v>9.5540000000000003</v>
      </c>
      <c r="V331">
        <v>9.9220000000000006</v>
      </c>
      <c r="W331">
        <v>9.8490000000000002</v>
      </c>
      <c r="X331">
        <v>10.095000000000001</v>
      </c>
      <c r="Y331">
        <v>10.836</v>
      </c>
      <c r="Z331">
        <v>11.528</v>
      </c>
      <c r="AA331">
        <v>11.657</v>
      </c>
      <c r="AB331">
        <v>12.122999999999999</v>
      </c>
      <c r="AC331">
        <v>12.680999999999999</v>
      </c>
      <c r="AD331">
        <v>13.124000000000001</v>
      </c>
      <c r="AE331">
        <v>13.651999999999999</v>
      </c>
      <c r="AF331">
        <v>13.792</v>
      </c>
      <c r="AG331">
        <v>14.278</v>
      </c>
      <c r="AH331">
        <v>15.015000000000001</v>
      </c>
      <c r="AI331">
        <v>15.691000000000001</v>
      </c>
      <c r="AJ331">
        <v>15.555</v>
      </c>
      <c r="AK331">
        <v>15.641</v>
      </c>
      <c r="AL331">
        <v>15.941000000000001</v>
      </c>
      <c r="AM331">
        <v>16.132000000000001</v>
      </c>
      <c r="AN331">
        <v>16.385999999999999</v>
      </c>
      <c r="AO331">
        <v>16.378</v>
      </c>
      <c r="AP331">
        <v>16.356000000000002</v>
      </c>
      <c r="AQ331">
        <v>16.632999999999999</v>
      </c>
      <c r="AR331">
        <v>16.512</v>
      </c>
      <c r="AS331">
        <v>16.667000000000002</v>
      </c>
      <c r="AT331">
        <v>16.858000000000001</v>
      </c>
      <c r="AU331">
        <v>17.039000000000001</v>
      </c>
      <c r="AV331">
        <v>17.193000000000001</v>
      </c>
      <c r="AW331">
        <v>17.373999999999999</v>
      </c>
    </row>
    <row r="332" spans="1:49" x14ac:dyDescent="0.35">
      <c r="A332" t="s">
        <v>10</v>
      </c>
      <c r="B332" t="s">
        <v>68</v>
      </c>
      <c r="C332" t="s">
        <v>69</v>
      </c>
      <c r="D332" t="s">
        <v>70</v>
      </c>
      <c r="F332" t="s">
        <v>169</v>
      </c>
      <c r="G332">
        <v>26.318000000000001</v>
      </c>
      <c r="H332">
        <v>24.902999999999999</v>
      </c>
      <c r="I332">
        <v>22.986999999999998</v>
      </c>
      <c r="J332">
        <v>18.591999999999999</v>
      </c>
      <c r="K332">
        <v>21.189</v>
      </c>
      <c r="L332">
        <v>24.606000000000002</v>
      </c>
      <c r="M332">
        <v>24.352</v>
      </c>
      <c r="N332">
        <v>25.628</v>
      </c>
      <c r="O332">
        <v>30.373000000000001</v>
      </c>
      <c r="P332">
        <v>33.226999999999997</v>
      </c>
      <c r="Q332">
        <v>33.113</v>
      </c>
      <c r="R332">
        <v>31.475999999999999</v>
      </c>
      <c r="S332">
        <v>30.905999999999999</v>
      </c>
      <c r="T332">
        <v>30.853999999999999</v>
      </c>
      <c r="U332">
        <v>32.167999999999999</v>
      </c>
      <c r="V332">
        <v>29.619</v>
      </c>
      <c r="W332">
        <v>27.536999999999999</v>
      </c>
      <c r="X332">
        <v>30.51</v>
      </c>
      <c r="Y332">
        <v>29.951000000000001</v>
      </c>
      <c r="Z332">
        <v>26.704000000000001</v>
      </c>
      <c r="AA332">
        <v>25.981999999999999</v>
      </c>
      <c r="AB332">
        <v>20.731000000000002</v>
      </c>
      <c r="AC332">
        <v>22.052</v>
      </c>
      <c r="AD332">
        <v>23.678999999999998</v>
      </c>
      <c r="AE332">
        <v>24.393000000000001</v>
      </c>
      <c r="AF332">
        <v>22.667999999999999</v>
      </c>
      <c r="AG332">
        <v>26.702000000000002</v>
      </c>
      <c r="AH332">
        <v>26.923999999999999</v>
      </c>
      <c r="AI332">
        <v>27.297999999999998</v>
      </c>
      <c r="AJ332">
        <v>21.297999999999998</v>
      </c>
      <c r="AK332">
        <v>23.725999999999999</v>
      </c>
      <c r="AL332">
        <v>26.044</v>
      </c>
      <c r="AM332">
        <v>24.792000000000002</v>
      </c>
      <c r="AN332">
        <v>25.155999999999999</v>
      </c>
      <c r="AO332">
        <v>23.035</v>
      </c>
      <c r="AP332">
        <v>21.199000000000002</v>
      </c>
      <c r="AQ332">
        <v>20.414999999999999</v>
      </c>
      <c r="AR332">
        <v>20.530999999999999</v>
      </c>
      <c r="AS332">
        <v>20.626000000000001</v>
      </c>
      <c r="AT332">
        <v>20.731999999999999</v>
      </c>
      <c r="AU332">
        <v>20.863</v>
      </c>
      <c r="AV332">
        <v>21.02</v>
      </c>
      <c r="AW332">
        <v>21.2</v>
      </c>
    </row>
    <row r="333" spans="1:49" x14ac:dyDescent="0.35">
      <c r="A333" t="s">
        <v>10</v>
      </c>
      <c r="B333" t="s">
        <v>71</v>
      </c>
      <c r="C333" t="s">
        <v>72</v>
      </c>
      <c r="D333" t="s">
        <v>70</v>
      </c>
      <c r="F333" t="s">
        <v>169</v>
      </c>
      <c r="G333">
        <v>13.920999999999999</v>
      </c>
      <c r="H333">
        <v>7.819</v>
      </c>
      <c r="I333">
        <v>14.956</v>
      </c>
      <c r="J333">
        <v>11.771000000000001</v>
      </c>
      <c r="K333">
        <v>16.225000000000001</v>
      </c>
      <c r="L333">
        <v>18.021000000000001</v>
      </c>
      <c r="M333">
        <v>22.305</v>
      </c>
      <c r="N333">
        <v>29.266999999999999</v>
      </c>
      <c r="O333">
        <v>23.472000000000001</v>
      </c>
      <c r="P333">
        <v>29.134</v>
      </c>
      <c r="Q333">
        <v>24.225000000000001</v>
      </c>
      <c r="R333">
        <v>26.434000000000001</v>
      </c>
      <c r="S333">
        <v>26.308</v>
      </c>
      <c r="T333">
        <v>16.170000000000002</v>
      </c>
      <c r="U333">
        <v>17.724</v>
      </c>
      <c r="V333">
        <v>13.512</v>
      </c>
      <c r="W333">
        <v>15.461</v>
      </c>
      <c r="X333">
        <v>18.302</v>
      </c>
      <c r="Y333">
        <v>15.83</v>
      </c>
      <c r="Z333">
        <v>25.154</v>
      </c>
      <c r="AA333">
        <v>26.856999999999999</v>
      </c>
      <c r="AB333">
        <v>28.678999999999998</v>
      </c>
      <c r="AC333">
        <v>27.606000000000002</v>
      </c>
      <c r="AD333">
        <v>25.968</v>
      </c>
      <c r="AE333">
        <v>23.114999999999998</v>
      </c>
      <c r="AF333">
        <v>18.283999999999999</v>
      </c>
      <c r="AG333">
        <v>18.016999999999999</v>
      </c>
      <c r="AH333">
        <v>22.085999999999999</v>
      </c>
      <c r="AI333">
        <v>18.254999999999999</v>
      </c>
      <c r="AJ333">
        <v>14.984999999999999</v>
      </c>
      <c r="AK333">
        <v>14.27</v>
      </c>
      <c r="AL333">
        <v>13.153</v>
      </c>
      <c r="AM333">
        <v>18.456</v>
      </c>
      <c r="AN333">
        <v>19.036000000000001</v>
      </c>
      <c r="AO333">
        <v>16.981999999999999</v>
      </c>
      <c r="AP333">
        <v>16.312000000000001</v>
      </c>
      <c r="AQ333">
        <v>16.335999999999999</v>
      </c>
      <c r="AR333">
        <v>13.702</v>
      </c>
      <c r="AS333">
        <v>13.308999999999999</v>
      </c>
      <c r="AT333">
        <v>11.326000000000001</v>
      </c>
      <c r="AU333">
        <v>13.673</v>
      </c>
      <c r="AV333">
        <v>16.686</v>
      </c>
      <c r="AW333">
        <v>19.798999999999999</v>
      </c>
    </row>
    <row r="334" spans="1:49" x14ac:dyDescent="0.35">
      <c r="A334" t="s">
        <v>10</v>
      </c>
      <c r="B334" t="s">
        <v>73</v>
      </c>
      <c r="C334" t="s">
        <v>74</v>
      </c>
      <c r="D334" t="s">
        <v>47</v>
      </c>
      <c r="F334" t="s">
        <v>170</v>
      </c>
      <c r="G334">
        <v>20.114000000000001</v>
      </c>
      <c r="H334">
        <v>25.434000000000001</v>
      </c>
      <c r="I334">
        <v>28.838000000000001</v>
      </c>
      <c r="J334">
        <v>30.986999999999998</v>
      </c>
      <c r="K334">
        <v>32.698999999999998</v>
      </c>
      <c r="L334">
        <v>35.42</v>
      </c>
      <c r="M334">
        <v>36.956000000000003</v>
      </c>
      <c r="N334">
        <v>37.222000000000001</v>
      </c>
      <c r="O334">
        <v>38.561999999999998</v>
      </c>
      <c r="P334">
        <v>43.81</v>
      </c>
      <c r="Q334">
        <v>48.5</v>
      </c>
      <c r="R334">
        <v>54.716000000000001</v>
      </c>
      <c r="S334">
        <v>56.28</v>
      </c>
      <c r="T334">
        <v>64.884</v>
      </c>
      <c r="U334">
        <v>69.643000000000001</v>
      </c>
      <c r="V334">
        <v>73.84</v>
      </c>
      <c r="W334">
        <v>78.677999999999997</v>
      </c>
      <c r="X334">
        <v>84.052999999999997</v>
      </c>
      <c r="Y334">
        <v>89.775000000000006</v>
      </c>
      <c r="Z334">
        <v>95.953000000000003</v>
      </c>
      <c r="AA334">
        <v>100</v>
      </c>
      <c r="AB334">
        <v>105.39100000000001</v>
      </c>
      <c r="AC334">
        <v>112.151</v>
      </c>
      <c r="AD334">
        <v>116.559</v>
      </c>
      <c r="AE334">
        <v>122.042</v>
      </c>
      <c r="AF334">
        <v>128.048</v>
      </c>
      <c r="AG334">
        <v>139.482</v>
      </c>
      <c r="AH334">
        <v>151.79400000000001</v>
      </c>
      <c r="AI334">
        <v>166.56399999999999</v>
      </c>
      <c r="AJ334">
        <v>170.755</v>
      </c>
      <c r="AK334">
        <v>175.756</v>
      </c>
      <c r="AL334">
        <v>187.227</v>
      </c>
      <c r="AM334">
        <v>194.43899999999999</v>
      </c>
      <c r="AN334">
        <v>201.33199999999999</v>
      </c>
      <c r="AO334">
        <v>207.81</v>
      </c>
      <c r="AP334">
        <v>210.48</v>
      </c>
      <c r="AQ334">
        <v>212.53800000000001</v>
      </c>
      <c r="AR334">
        <v>221.524</v>
      </c>
      <c r="AS334">
        <v>232.54599999999999</v>
      </c>
      <c r="AT334">
        <v>241.32599999999999</v>
      </c>
      <c r="AU334">
        <v>249.51</v>
      </c>
      <c r="AV334">
        <v>257.49200000000002</v>
      </c>
      <c r="AW334">
        <v>265.48</v>
      </c>
    </row>
    <row r="335" spans="1:49" x14ac:dyDescent="0.35">
      <c r="A335" t="s">
        <v>10</v>
      </c>
      <c r="B335" t="s">
        <v>73</v>
      </c>
      <c r="C335" t="s">
        <v>76</v>
      </c>
      <c r="D335" t="s">
        <v>35</v>
      </c>
      <c r="F335" t="s">
        <v>77</v>
      </c>
      <c r="G335">
        <v>33.04</v>
      </c>
      <c r="H335">
        <v>26.45</v>
      </c>
      <c r="I335">
        <v>13.384</v>
      </c>
      <c r="J335">
        <v>7.452</v>
      </c>
      <c r="K335">
        <v>5.5250000000000004</v>
      </c>
      <c r="L335">
        <v>8.3209999999999997</v>
      </c>
      <c r="M335">
        <v>4.3360000000000003</v>
      </c>
      <c r="N335">
        <v>0.71899999999999997</v>
      </c>
      <c r="O335">
        <v>3.6</v>
      </c>
      <c r="P335">
        <v>13.61</v>
      </c>
      <c r="Q335">
        <v>10.705</v>
      </c>
      <c r="R335">
        <v>12.817</v>
      </c>
      <c r="S335">
        <v>2.8570000000000002</v>
      </c>
      <c r="T335">
        <v>15.288</v>
      </c>
      <c r="U335">
        <v>7.335</v>
      </c>
      <c r="V335">
        <v>6.0259999999999998</v>
      </c>
      <c r="W335">
        <v>6.5529999999999999</v>
      </c>
      <c r="X335">
        <v>6.8310000000000004</v>
      </c>
      <c r="Y335">
        <v>6.8079999999999998</v>
      </c>
      <c r="Z335">
        <v>6.8819999999999997</v>
      </c>
      <c r="AA335">
        <v>4.2169999999999996</v>
      </c>
      <c r="AB335">
        <v>5.391</v>
      </c>
      <c r="AC335">
        <v>6.4139999999999997</v>
      </c>
      <c r="AD335">
        <v>3.931</v>
      </c>
      <c r="AE335">
        <v>4.7030000000000003</v>
      </c>
      <c r="AF335">
        <v>4.9210000000000003</v>
      </c>
      <c r="AG335">
        <v>8.93</v>
      </c>
      <c r="AH335">
        <v>8.827</v>
      </c>
      <c r="AI335">
        <v>9.7309999999999999</v>
      </c>
      <c r="AJ335">
        <v>2.516</v>
      </c>
      <c r="AK335">
        <v>2.9289999999999998</v>
      </c>
      <c r="AL335">
        <v>6.5259999999999998</v>
      </c>
      <c r="AM335">
        <v>3.8519999999999999</v>
      </c>
      <c r="AN335">
        <v>3.5449999999999999</v>
      </c>
      <c r="AO335">
        <v>3.218</v>
      </c>
      <c r="AP335">
        <v>1.2849999999999999</v>
      </c>
      <c r="AQ335">
        <v>0.97799999999999998</v>
      </c>
      <c r="AR335">
        <v>4.2279999999999998</v>
      </c>
      <c r="AS335">
        <v>4.9749999999999996</v>
      </c>
      <c r="AT335">
        <v>3.7759999999999998</v>
      </c>
      <c r="AU335">
        <v>3.391</v>
      </c>
      <c r="AV335">
        <v>3.1989999999999998</v>
      </c>
      <c r="AW335">
        <v>3.1019999999999999</v>
      </c>
    </row>
    <row r="336" spans="1:49" x14ac:dyDescent="0.35">
      <c r="A336" t="s">
        <v>10</v>
      </c>
      <c r="B336" t="s">
        <v>78</v>
      </c>
      <c r="C336" t="s">
        <v>79</v>
      </c>
      <c r="D336" t="s">
        <v>47</v>
      </c>
      <c r="F336" t="s">
        <v>170</v>
      </c>
      <c r="G336">
        <v>22.216999999999999</v>
      </c>
      <c r="H336">
        <v>25.670999999999999</v>
      </c>
      <c r="I336">
        <v>28.984999999999999</v>
      </c>
      <c r="J336">
        <v>30.391999999999999</v>
      </c>
      <c r="K336">
        <v>32.518000000000001</v>
      </c>
      <c r="L336">
        <v>34.816000000000003</v>
      </c>
      <c r="M336">
        <v>35.792999999999999</v>
      </c>
      <c r="N336">
        <v>36.223999999999997</v>
      </c>
      <c r="O336">
        <v>39.223999999999997</v>
      </c>
      <c r="P336">
        <v>44.859000000000002</v>
      </c>
      <c r="Q336">
        <v>49.542000000000002</v>
      </c>
      <c r="R336">
        <v>53.786000000000001</v>
      </c>
      <c r="S336">
        <v>57.216999999999999</v>
      </c>
      <c r="T336">
        <v>65.792000000000002</v>
      </c>
      <c r="U336">
        <v>69.731999999999999</v>
      </c>
      <c r="V336">
        <v>73.927999999999997</v>
      </c>
      <c r="W336">
        <v>79.435000000000002</v>
      </c>
      <c r="X336">
        <v>83.459000000000003</v>
      </c>
      <c r="Y336">
        <v>91.009</v>
      </c>
      <c r="Z336">
        <v>95.459000000000003</v>
      </c>
      <c r="AA336">
        <v>100</v>
      </c>
      <c r="AB336">
        <v>104.983</v>
      </c>
      <c r="AC336">
        <v>110.372</v>
      </c>
      <c r="AD336">
        <v>114.455</v>
      </c>
      <c r="AE336">
        <v>120.73399999999999</v>
      </c>
      <c r="AF336">
        <v>125.351</v>
      </c>
      <c r="AG336">
        <v>139.90899999999999</v>
      </c>
      <c r="AH336">
        <v>151.93700000000001</v>
      </c>
      <c r="AI336">
        <v>162.22800000000001</v>
      </c>
      <c r="AJ336">
        <v>164.60499999999999</v>
      </c>
      <c r="AK336">
        <v>174.679</v>
      </c>
      <c r="AL336">
        <v>183.18199999999999</v>
      </c>
      <c r="AM336">
        <v>188.989</v>
      </c>
      <c r="AN336">
        <v>196.68</v>
      </c>
      <c r="AO336">
        <v>197.054</v>
      </c>
      <c r="AP336">
        <v>199.66900000000001</v>
      </c>
      <c r="AQ336">
        <v>204.339</v>
      </c>
      <c r="AR336">
        <v>214.55500000000001</v>
      </c>
      <c r="AS336">
        <v>223.13800000000001</v>
      </c>
      <c r="AT336">
        <v>230.947</v>
      </c>
      <c r="AU336">
        <v>238.453</v>
      </c>
      <c r="AV336">
        <v>245.905</v>
      </c>
      <c r="AW336">
        <v>253.43600000000001</v>
      </c>
    </row>
    <row r="337" spans="1:49" x14ac:dyDescent="0.35">
      <c r="A337" t="s">
        <v>10</v>
      </c>
      <c r="B337" t="s">
        <v>78</v>
      </c>
      <c r="C337" t="s">
        <v>80</v>
      </c>
      <c r="D337" t="s">
        <v>35</v>
      </c>
      <c r="F337" t="s">
        <v>81</v>
      </c>
      <c r="G337" t="s">
        <v>82</v>
      </c>
      <c r="H337">
        <v>15.545999999999999</v>
      </c>
      <c r="I337">
        <v>12.909000000000001</v>
      </c>
      <c r="J337">
        <v>4.8559999999999999</v>
      </c>
      <c r="K337">
        <v>6.9939999999999998</v>
      </c>
      <c r="L337">
        <v>7.0670000000000002</v>
      </c>
      <c r="M337">
        <v>2.8050000000000002</v>
      </c>
      <c r="N337">
        <v>1.204</v>
      </c>
      <c r="O337">
        <v>8.2829999999999995</v>
      </c>
      <c r="P337">
        <v>14.366</v>
      </c>
      <c r="Q337">
        <v>10.44</v>
      </c>
      <c r="R337">
        <v>8.5670000000000002</v>
      </c>
      <c r="S337">
        <v>6.3789999999999996</v>
      </c>
      <c r="T337">
        <v>14.987</v>
      </c>
      <c r="U337">
        <v>5.9880000000000004</v>
      </c>
      <c r="V337">
        <v>6.0170000000000003</v>
      </c>
      <c r="W337">
        <v>7.4489999999999998</v>
      </c>
      <c r="X337">
        <v>5.0659999999999998</v>
      </c>
      <c r="Y337">
        <v>9.0470000000000006</v>
      </c>
      <c r="Z337">
        <v>4.8899999999999997</v>
      </c>
      <c r="AA337">
        <v>4.7569999999999997</v>
      </c>
      <c r="AB337">
        <v>4.9829999999999997</v>
      </c>
      <c r="AC337">
        <v>5.133</v>
      </c>
      <c r="AD337">
        <v>3.6989999999999998</v>
      </c>
      <c r="AE337">
        <v>5.4859999999999998</v>
      </c>
      <c r="AF337">
        <v>3.8239999999999998</v>
      </c>
      <c r="AG337">
        <v>11.614000000000001</v>
      </c>
      <c r="AH337">
        <v>8.5969999999999995</v>
      </c>
      <c r="AI337">
        <v>6.774</v>
      </c>
      <c r="AJ337">
        <v>1.4650000000000001</v>
      </c>
      <c r="AK337">
        <v>6.1210000000000004</v>
      </c>
      <c r="AL337">
        <v>4.867</v>
      </c>
      <c r="AM337">
        <v>3.17</v>
      </c>
      <c r="AN337">
        <v>4.07</v>
      </c>
      <c r="AO337">
        <v>0.19</v>
      </c>
      <c r="AP337">
        <v>1.327</v>
      </c>
      <c r="AQ337">
        <v>2.339</v>
      </c>
      <c r="AR337">
        <v>5</v>
      </c>
      <c r="AS337">
        <v>4</v>
      </c>
      <c r="AT337">
        <v>3.5</v>
      </c>
      <c r="AU337">
        <v>3.25</v>
      </c>
      <c r="AV337">
        <v>3.125</v>
      </c>
      <c r="AW337">
        <v>3.0630000000000002</v>
      </c>
    </row>
    <row r="338" spans="1:49" x14ac:dyDescent="0.35">
      <c r="A338" t="s">
        <v>10</v>
      </c>
      <c r="B338" t="s">
        <v>83</v>
      </c>
      <c r="D338" t="s">
        <v>64</v>
      </c>
    </row>
    <row r="339" spans="1:49" x14ac:dyDescent="0.35">
      <c r="A339" t="s">
        <v>10</v>
      </c>
      <c r="B339" t="s">
        <v>84</v>
      </c>
      <c r="C339" t="s">
        <v>85</v>
      </c>
      <c r="D339" t="s">
        <v>35</v>
      </c>
      <c r="F339" t="s">
        <v>171</v>
      </c>
      <c r="G339">
        <v>3.718</v>
      </c>
      <c r="H339">
        <v>-9.5419999999999998</v>
      </c>
      <c r="I339">
        <v>-9.0090000000000003</v>
      </c>
      <c r="J339">
        <v>-2.7280000000000002</v>
      </c>
      <c r="K339">
        <v>6.0449999999999999</v>
      </c>
      <c r="L339">
        <v>35.866</v>
      </c>
      <c r="M339">
        <v>11.73</v>
      </c>
      <c r="N339">
        <v>15.791</v>
      </c>
      <c r="O339">
        <v>35.018000000000001</v>
      </c>
      <c r="P339">
        <v>2.1190000000000002</v>
      </c>
      <c r="Q339">
        <v>9.3650000000000002</v>
      </c>
      <c r="R339">
        <v>9.3650000000000002</v>
      </c>
      <c r="S339">
        <v>9.3650000000000002</v>
      </c>
      <c r="T339">
        <v>9.3650000000000002</v>
      </c>
      <c r="U339">
        <v>5.0369999999999999</v>
      </c>
      <c r="V339">
        <v>8.9109999999999996</v>
      </c>
      <c r="W339">
        <v>9.875</v>
      </c>
      <c r="X339">
        <v>23.148</v>
      </c>
      <c r="Y339">
        <v>25.867999999999999</v>
      </c>
      <c r="Z339">
        <v>11.669</v>
      </c>
      <c r="AA339">
        <v>-3.7709999999999999</v>
      </c>
      <c r="AB339">
        <v>3.3319999999999999</v>
      </c>
      <c r="AC339">
        <v>6.641</v>
      </c>
      <c r="AD339">
        <v>3.7389999999999999</v>
      </c>
      <c r="AE339">
        <v>10.494</v>
      </c>
      <c r="AF339">
        <v>8.6539999999999999</v>
      </c>
      <c r="AG339">
        <v>8.3930000000000007</v>
      </c>
      <c r="AH339">
        <v>10.821999999999999</v>
      </c>
      <c r="AI339">
        <v>3.7610000000000001</v>
      </c>
      <c r="AJ339">
        <v>-10.577999999999999</v>
      </c>
      <c r="AK339">
        <v>6.8940000000000001</v>
      </c>
      <c r="AL339">
        <v>5.0279999999999996</v>
      </c>
      <c r="AM339">
        <v>2.8740000000000001</v>
      </c>
      <c r="AN339">
        <v>4.4370000000000003</v>
      </c>
      <c r="AO339">
        <v>4.6840000000000002</v>
      </c>
      <c r="AP339">
        <v>4.22</v>
      </c>
      <c r="AQ339">
        <v>4.4379999999999997</v>
      </c>
      <c r="AR339">
        <v>3.8610000000000002</v>
      </c>
      <c r="AS339">
        <v>3.55</v>
      </c>
      <c r="AT339">
        <v>3.5720000000000001</v>
      </c>
      <c r="AU339">
        <v>3.51</v>
      </c>
      <c r="AV339">
        <v>3.657</v>
      </c>
      <c r="AW339">
        <v>3.714</v>
      </c>
    </row>
    <row r="340" spans="1:49" x14ac:dyDescent="0.35">
      <c r="A340" t="s">
        <v>10</v>
      </c>
      <c r="B340" t="s">
        <v>87</v>
      </c>
      <c r="C340" t="s">
        <v>88</v>
      </c>
      <c r="D340" t="s">
        <v>35</v>
      </c>
      <c r="F340" t="s">
        <v>171</v>
      </c>
      <c r="G340">
        <v>9.8699999999999992</v>
      </c>
      <c r="H340">
        <v>17.286000000000001</v>
      </c>
      <c r="I340">
        <v>-22.498000000000001</v>
      </c>
      <c r="J340">
        <v>3.097</v>
      </c>
      <c r="K340">
        <v>5.6260000000000003</v>
      </c>
      <c r="L340">
        <v>4.8840000000000003</v>
      </c>
      <c r="M340">
        <v>38.783999999999999</v>
      </c>
      <c r="N340">
        <v>30.28</v>
      </c>
      <c r="O340">
        <v>42.837000000000003</v>
      </c>
      <c r="P340">
        <v>-2.7429999999999999</v>
      </c>
      <c r="Q340">
        <v>10.811999999999999</v>
      </c>
      <c r="R340">
        <v>10.811999999999999</v>
      </c>
      <c r="S340">
        <v>10.811999999999999</v>
      </c>
      <c r="T340">
        <v>10.811999999999999</v>
      </c>
      <c r="U340">
        <v>5.6769999999999996</v>
      </c>
      <c r="V340">
        <v>9.8130000000000006</v>
      </c>
      <c r="W340">
        <v>10.201000000000001</v>
      </c>
      <c r="X340">
        <v>21.148</v>
      </c>
      <c r="Y340">
        <v>24.791</v>
      </c>
      <c r="Z340">
        <v>11.032</v>
      </c>
      <c r="AA340">
        <v>-4.3289999999999997</v>
      </c>
      <c r="AB340">
        <v>3.6760000000000002</v>
      </c>
      <c r="AC340">
        <v>5.4820000000000002</v>
      </c>
      <c r="AD340">
        <v>3.6989999999999998</v>
      </c>
      <c r="AE340">
        <v>11.685</v>
      </c>
      <c r="AF340">
        <v>10.340999999999999</v>
      </c>
      <c r="AG340">
        <v>8.6709999999999994</v>
      </c>
      <c r="AH340">
        <v>16.056999999999999</v>
      </c>
      <c r="AI340">
        <v>3.6120000000000001</v>
      </c>
      <c r="AJ340">
        <v>-13.428000000000001</v>
      </c>
      <c r="AK340">
        <v>8.2370000000000001</v>
      </c>
      <c r="AL340">
        <v>5.8259999999999996</v>
      </c>
      <c r="AM340">
        <v>2.964</v>
      </c>
      <c r="AN340">
        <v>4.141</v>
      </c>
      <c r="AO340">
        <v>3.7519999999999998</v>
      </c>
      <c r="AP340">
        <v>3.9249999999999998</v>
      </c>
      <c r="AQ340">
        <v>4.3470000000000004</v>
      </c>
      <c r="AR340">
        <v>4.7350000000000003</v>
      </c>
      <c r="AS340">
        <v>3.6179999999999999</v>
      </c>
      <c r="AT340">
        <v>3.7170000000000001</v>
      </c>
      <c r="AU340">
        <v>3.669</v>
      </c>
      <c r="AV340">
        <v>3.82</v>
      </c>
      <c r="AW340">
        <v>3.8519999999999999</v>
      </c>
    </row>
    <row r="341" spans="1:49" x14ac:dyDescent="0.35">
      <c r="A341" t="s">
        <v>10</v>
      </c>
      <c r="B341" t="s">
        <v>89</v>
      </c>
      <c r="C341" t="s">
        <v>90</v>
      </c>
      <c r="D341" t="s">
        <v>35</v>
      </c>
      <c r="F341" t="s">
        <v>171</v>
      </c>
      <c r="G341">
        <v>7.7409999999999997</v>
      </c>
      <c r="H341">
        <v>-1.58</v>
      </c>
      <c r="I341">
        <v>2.3090000000000002</v>
      </c>
      <c r="J341">
        <v>5.2430000000000003</v>
      </c>
      <c r="K341">
        <v>2.5289999999999999</v>
      </c>
      <c r="L341">
        <v>12.837</v>
      </c>
      <c r="M341">
        <v>20.291</v>
      </c>
      <c r="N341">
        <v>26.344000000000001</v>
      </c>
      <c r="O341">
        <v>10.916</v>
      </c>
      <c r="P341">
        <v>7.0090000000000003</v>
      </c>
      <c r="Q341">
        <v>0.45</v>
      </c>
      <c r="R341">
        <v>0.45</v>
      </c>
      <c r="S341">
        <v>0.45</v>
      </c>
      <c r="T341">
        <v>0.45</v>
      </c>
      <c r="U341">
        <v>7.5540000000000003</v>
      </c>
      <c r="V341">
        <v>7.2249999999999996</v>
      </c>
      <c r="W341">
        <v>21.06</v>
      </c>
      <c r="X341">
        <v>20.645</v>
      </c>
      <c r="Y341">
        <v>22.047999999999998</v>
      </c>
      <c r="Z341">
        <v>19.356000000000002</v>
      </c>
      <c r="AA341">
        <v>22.077999999999999</v>
      </c>
      <c r="AB341">
        <v>11.805</v>
      </c>
      <c r="AC341">
        <v>3.7330000000000001</v>
      </c>
      <c r="AD341">
        <v>4.0270000000000001</v>
      </c>
      <c r="AE341">
        <v>1.1910000000000001</v>
      </c>
      <c r="AF341">
        <v>5.2779999999999996</v>
      </c>
      <c r="AG341">
        <v>1.9630000000000001</v>
      </c>
      <c r="AH341">
        <v>5.0380000000000003</v>
      </c>
      <c r="AI341">
        <v>3.1110000000000002</v>
      </c>
      <c r="AJ341">
        <v>-11.739000000000001</v>
      </c>
      <c r="AK341">
        <v>12.292999999999999</v>
      </c>
      <c r="AL341">
        <v>9.4179999999999993</v>
      </c>
      <c r="AM341">
        <v>3.0139999999999998</v>
      </c>
      <c r="AN341">
        <v>-4.3929999999999998</v>
      </c>
      <c r="AO341">
        <v>12.145</v>
      </c>
      <c r="AP341">
        <v>-7.1840000000000002</v>
      </c>
      <c r="AQ341">
        <v>-1.0940000000000001</v>
      </c>
      <c r="AR341">
        <v>1.3879999999999999</v>
      </c>
      <c r="AS341">
        <v>4.7930000000000001</v>
      </c>
      <c r="AT341">
        <v>5.3440000000000003</v>
      </c>
      <c r="AU341">
        <v>6.0979999999999999</v>
      </c>
      <c r="AV341">
        <v>5.6260000000000003</v>
      </c>
      <c r="AW341">
        <v>5.3550000000000004</v>
      </c>
    </row>
    <row r="342" spans="1:49" x14ac:dyDescent="0.35">
      <c r="A342" t="s">
        <v>10</v>
      </c>
      <c r="B342" t="s">
        <v>91</v>
      </c>
      <c r="C342" t="s">
        <v>92</v>
      </c>
      <c r="D342" t="s">
        <v>35</v>
      </c>
      <c r="F342" t="s">
        <v>171</v>
      </c>
      <c r="G342">
        <v>10.587</v>
      </c>
      <c r="H342">
        <v>-2.6739999999999999</v>
      </c>
      <c r="I342">
        <v>13.893000000000001</v>
      </c>
      <c r="J342">
        <v>-7.524</v>
      </c>
      <c r="K342">
        <v>12.935</v>
      </c>
      <c r="L342">
        <v>-8.0289999999999999</v>
      </c>
      <c r="M342">
        <v>29.928999999999998</v>
      </c>
      <c r="N342">
        <v>32.692</v>
      </c>
      <c r="O342">
        <v>2.9809999999999999</v>
      </c>
      <c r="P342">
        <v>4.6849999999999996</v>
      </c>
      <c r="Q342">
        <v>-4.0439999999999996</v>
      </c>
      <c r="R342">
        <v>-4.0439999999999996</v>
      </c>
      <c r="S342">
        <v>-4.0439999999999996</v>
      </c>
      <c r="T342">
        <v>-4.0439999999999996</v>
      </c>
      <c r="U342">
        <v>8.016</v>
      </c>
      <c r="V342">
        <v>3.98</v>
      </c>
      <c r="W342">
        <v>18.471</v>
      </c>
      <c r="X342">
        <v>19.472000000000001</v>
      </c>
      <c r="Y342">
        <v>18.832999999999998</v>
      </c>
      <c r="Z342">
        <v>18.222999999999999</v>
      </c>
      <c r="AA342">
        <v>31.491</v>
      </c>
      <c r="AB342">
        <v>7.8470000000000004</v>
      </c>
      <c r="AC342">
        <v>10.773</v>
      </c>
      <c r="AD342">
        <v>1.869</v>
      </c>
      <c r="AE342">
        <v>-2.004</v>
      </c>
      <c r="AF342">
        <v>3.65</v>
      </c>
      <c r="AG342">
        <v>4.2050000000000001</v>
      </c>
      <c r="AH342">
        <v>-9.1969999999999992</v>
      </c>
      <c r="AI342">
        <v>-0.68400000000000005</v>
      </c>
      <c r="AJ342">
        <v>-15.539</v>
      </c>
      <c r="AK342">
        <v>10.625999999999999</v>
      </c>
      <c r="AL342">
        <v>5.2720000000000002</v>
      </c>
      <c r="AM342">
        <v>2.5819999999999999</v>
      </c>
      <c r="AN342">
        <v>10.948</v>
      </c>
      <c r="AO342">
        <v>8.6319999999999997</v>
      </c>
      <c r="AP342">
        <v>-8.4309999999999992</v>
      </c>
      <c r="AQ342">
        <v>-8.0869999999999997</v>
      </c>
      <c r="AR342">
        <v>-7.5529999999999999</v>
      </c>
      <c r="AS342">
        <v>3.7690000000000001</v>
      </c>
      <c r="AT342">
        <v>3.7250000000000001</v>
      </c>
      <c r="AU342">
        <v>4.3079999999999998</v>
      </c>
      <c r="AV342">
        <v>4.4139999999999997</v>
      </c>
      <c r="AW342">
        <v>4.798</v>
      </c>
    </row>
    <row r="343" spans="1:49" x14ac:dyDescent="0.35">
      <c r="A343" t="s">
        <v>10</v>
      </c>
      <c r="B343" t="s">
        <v>93</v>
      </c>
      <c r="C343" t="s">
        <v>94</v>
      </c>
      <c r="D343" t="s">
        <v>95</v>
      </c>
      <c r="F343" t="s">
        <v>172</v>
      </c>
      <c r="G343" t="s">
        <v>82</v>
      </c>
      <c r="H343" t="s">
        <v>82</v>
      </c>
      <c r="I343">
        <v>20.562999999999999</v>
      </c>
      <c r="J343">
        <v>19.721</v>
      </c>
      <c r="K343">
        <v>17.623000000000001</v>
      </c>
      <c r="L343">
        <v>15.305999999999999</v>
      </c>
      <c r="M343">
        <v>10.941000000000001</v>
      </c>
      <c r="N343">
        <v>5.9630000000000001</v>
      </c>
      <c r="O343">
        <v>3.8879999999999999</v>
      </c>
      <c r="P343">
        <v>3.6</v>
      </c>
      <c r="Q343">
        <v>2.8239999999999998</v>
      </c>
      <c r="R343">
        <v>2.7320000000000002</v>
      </c>
      <c r="S343">
        <v>3.3420000000000001</v>
      </c>
      <c r="T343">
        <v>3.9390000000000001</v>
      </c>
      <c r="U343">
        <v>4.492</v>
      </c>
      <c r="V343">
        <v>5.1159999999999997</v>
      </c>
      <c r="W343">
        <v>5.7850000000000001</v>
      </c>
      <c r="X343">
        <v>6.5609999999999999</v>
      </c>
      <c r="Y343">
        <v>6.8879999999999999</v>
      </c>
      <c r="Z343">
        <v>7.6980000000000004</v>
      </c>
      <c r="AA343">
        <v>6.5010000000000003</v>
      </c>
      <c r="AB343">
        <v>6.8</v>
      </c>
      <c r="AC343">
        <v>7.2</v>
      </c>
      <c r="AD343">
        <v>7.6980000000000004</v>
      </c>
      <c r="AE343">
        <v>8.3949999999999996</v>
      </c>
      <c r="AF343">
        <v>9.5670000000000002</v>
      </c>
      <c r="AG343">
        <v>9.0809999999999995</v>
      </c>
      <c r="AH343">
        <v>8.5220000000000002</v>
      </c>
      <c r="AI343">
        <v>7.2220000000000004</v>
      </c>
      <c r="AJ343">
        <v>7.3280000000000003</v>
      </c>
      <c r="AK343">
        <v>7.8</v>
      </c>
      <c r="AL343">
        <v>7.9</v>
      </c>
      <c r="AM343">
        <v>8</v>
      </c>
      <c r="AN343">
        <v>8</v>
      </c>
      <c r="AO343">
        <v>7.8</v>
      </c>
      <c r="AP343">
        <v>7.9</v>
      </c>
      <c r="AQ343">
        <v>7.1859999999999999</v>
      </c>
      <c r="AR343">
        <v>6.8680000000000003</v>
      </c>
      <c r="AS343">
        <v>6.468</v>
      </c>
      <c r="AT343">
        <v>5.9640000000000004</v>
      </c>
      <c r="AU343">
        <v>5.76</v>
      </c>
      <c r="AV343">
        <v>5.2869999999999999</v>
      </c>
      <c r="AW343">
        <v>4.3410000000000002</v>
      </c>
    </row>
    <row r="344" spans="1:49" x14ac:dyDescent="0.35">
      <c r="A344" t="s">
        <v>10</v>
      </c>
      <c r="B344" t="s">
        <v>96</v>
      </c>
      <c r="C344" t="s">
        <v>97</v>
      </c>
      <c r="D344" t="s">
        <v>98</v>
      </c>
      <c r="E344" t="s">
        <v>99</v>
      </c>
    </row>
    <row r="345" spans="1:49" x14ac:dyDescent="0.35">
      <c r="A345" t="s">
        <v>10</v>
      </c>
      <c r="B345" t="s">
        <v>100</v>
      </c>
      <c r="C345" t="s">
        <v>101</v>
      </c>
      <c r="D345" t="s">
        <v>98</v>
      </c>
      <c r="E345" t="s">
        <v>99</v>
      </c>
      <c r="F345" t="s">
        <v>173</v>
      </c>
      <c r="G345">
        <v>0.96599999999999997</v>
      </c>
      <c r="H345">
        <v>0.98</v>
      </c>
      <c r="I345">
        <v>0.99299999999999999</v>
      </c>
      <c r="J345">
        <v>1.002</v>
      </c>
      <c r="K345">
        <v>1.012</v>
      </c>
      <c r="L345">
        <v>1.0209999999999999</v>
      </c>
      <c r="M345">
        <v>1.028</v>
      </c>
      <c r="N345">
        <v>1.036</v>
      </c>
      <c r="O345">
        <v>1.0429999999999999</v>
      </c>
      <c r="P345">
        <v>1.0509999999999999</v>
      </c>
      <c r="Q345">
        <v>1.0589999999999999</v>
      </c>
      <c r="R345">
        <v>1.07</v>
      </c>
      <c r="S345">
        <v>1.0840000000000001</v>
      </c>
      <c r="T345">
        <v>1.097</v>
      </c>
      <c r="U345">
        <v>1.113</v>
      </c>
      <c r="V345">
        <v>1.1220000000000001</v>
      </c>
      <c r="W345">
        <v>1.1339999999999999</v>
      </c>
      <c r="X345">
        <v>1.1479999999999999</v>
      </c>
      <c r="Y345">
        <v>1.1599999999999999</v>
      </c>
      <c r="Z345">
        <v>1.175</v>
      </c>
      <c r="AA345">
        <v>1.1870000000000001</v>
      </c>
      <c r="AB345">
        <v>1.196</v>
      </c>
      <c r="AC345">
        <v>1.2050000000000001</v>
      </c>
      <c r="AD345">
        <v>1.2130000000000001</v>
      </c>
      <c r="AE345">
        <v>1.2210000000000001</v>
      </c>
      <c r="AF345">
        <v>1.228</v>
      </c>
      <c r="AG345">
        <v>1.234</v>
      </c>
      <c r="AH345">
        <v>1.24</v>
      </c>
      <c r="AI345">
        <v>1.244</v>
      </c>
      <c r="AJ345">
        <v>1.2470000000000001</v>
      </c>
      <c r="AK345">
        <v>1.25</v>
      </c>
      <c r="AL345">
        <v>1.252</v>
      </c>
      <c r="AM345">
        <v>1.256</v>
      </c>
      <c r="AN345">
        <v>1.2589999999999999</v>
      </c>
      <c r="AO345">
        <v>1.2609999999999999</v>
      </c>
      <c r="AP345">
        <v>1.2629999999999999</v>
      </c>
      <c r="AQ345">
        <v>1.264</v>
      </c>
      <c r="AR345">
        <v>1.2689999999999999</v>
      </c>
      <c r="AS345">
        <v>1.274</v>
      </c>
      <c r="AT345">
        <v>1.2789999999999999</v>
      </c>
      <c r="AU345">
        <v>1.284</v>
      </c>
      <c r="AV345">
        <v>1.288</v>
      </c>
      <c r="AW345">
        <v>1.292</v>
      </c>
    </row>
    <row r="346" spans="1:49" x14ac:dyDescent="0.35">
      <c r="A346" t="s">
        <v>10</v>
      </c>
      <c r="B346" t="s">
        <v>103</v>
      </c>
      <c r="C346" t="s">
        <v>104</v>
      </c>
      <c r="D346" t="s">
        <v>31</v>
      </c>
      <c r="E346" t="s">
        <v>32</v>
      </c>
      <c r="F346" t="s">
        <v>174</v>
      </c>
      <c r="G346" t="s">
        <v>82</v>
      </c>
      <c r="H346" t="s">
        <v>82</v>
      </c>
      <c r="I346" t="s">
        <v>82</v>
      </c>
      <c r="J346" t="s">
        <v>82</v>
      </c>
      <c r="K346" t="s">
        <v>82</v>
      </c>
      <c r="L346" t="s">
        <v>82</v>
      </c>
      <c r="M346" t="s">
        <v>82</v>
      </c>
      <c r="N346" t="s">
        <v>82</v>
      </c>
      <c r="O346" t="s">
        <v>82</v>
      </c>
      <c r="P346" t="s">
        <v>82</v>
      </c>
      <c r="Q346" t="s">
        <v>82</v>
      </c>
      <c r="R346" t="s">
        <v>82</v>
      </c>
      <c r="S346" t="s">
        <v>82</v>
      </c>
      <c r="T346" t="s">
        <v>82</v>
      </c>
      <c r="U346" t="s">
        <v>82</v>
      </c>
      <c r="V346" t="s">
        <v>82</v>
      </c>
      <c r="W346" t="s">
        <v>82</v>
      </c>
      <c r="X346" t="s">
        <v>82</v>
      </c>
      <c r="Y346" t="s">
        <v>82</v>
      </c>
      <c r="Z346" t="s">
        <v>82</v>
      </c>
      <c r="AA346">
        <v>23.103000000000002</v>
      </c>
      <c r="AB346">
        <v>23.988</v>
      </c>
      <c r="AC346">
        <v>27.783999999999999</v>
      </c>
      <c r="AD346">
        <v>31.986999999999998</v>
      </c>
      <c r="AE346">
        <v>34.863</v>
      </c>
      <c r="AF346">
        <v>37.634999999999998</v>
      </c>
      <c r="AG346">
        <v>40.694000000000003</v>
      </c>
      <c r="AH346">
        <v>47.695</v>
      </c>
      <c r="AI346">
        <v>57.719000000000001</v>
      </c>
      <c r="AJ346">
        <v>64.290999999999997</v>
      </c>
      <c r="AK346">
        <v>65.478999999999999</v>
      </c>
      <c r="AL346">
        <v>69.222999999999999</v>
      </c>
      <c r="AM346">
        <v>73.772999999999996</v>
      </c>
      <c r="AN346">
        <v>78.224000000000004</v>
      </c>
      <c r="AO346">
        <v>79.674000000000007</v>
      </c>
      <c r="AP346">
        <v>88.269000000000005</v>
      </c>
      <c r="AQ346">
        <v>94.028000000000006</v>
      </c>
      <c r="AR346">
        <v>112.242</v>
      </c>
      <c r="AS346">
        <v>115.91500000000001</v>
      </c>
      <c r="AT346">
        <v>118.68</v>
      </c>
      <c r="AU346">
        <v>127.355</v>
      </c>
      <c r="AV346">
        <v>136.51599999999999</v>
      </c>
      <c r="AW346">
        <v>146.33500000000001</v>
      </c>
    </row>
    <row r="347" spans="1:49" x14ac:dyDescent="0.35">
      <c r="A347" t="s">
        <v>10</v>
      </c>
      <c r="B347" t="s">
        <v>103</v>
      </c>
      <c r="C347" t="s">
        <v>104</v>
      </c>
      <c r="D347" t="s">
        <v>70</v>
      </c>
      <c r="F347" t="s">
        <v>106</v>
      </c>
      <c r="G347" t="s">
        <v>82</v>
      </c>
      <c r="H347" t="s">
        <v>82</v>
      </c>
      <c r="I347" t="s">
        <v>82</v>
      </c>
      <c r="J347" t="s">
        <v>82</v>
      </c>
      <c r="K347" t="s">
        <v>82</v>
      </c>
      <c r="L347" t="s">
        <v>82</v>
      </c>
      <c r="M347" t="s">
        <v>82</v>
      </c>
      <c r="N347" t="s">
        <v>82</v>
      </c>
      <c r="O347" t="s">
        <v>82</v>
      </c>
      <c r="P347" t="s">
        <v>82</v>
      </c>
      <c r="Q347" t="s">
        <v>82</v>
      </c>
      <c r="R347" t="s">
        <v>82</v>
      </c>
      <c r="S347" t="s">
        <v>82</v>
      </c>
      <c r="T347" t="s">
        <v>82</v>
      </c>
      <c r="U347" t="s">
        <v>82</v>
      </c>
      <c r="V347" t="s">
        <v>82</v>
      </c>
      <c r="W347" t="s">
        <v>82</v>
      </c>
      <c r="X347" t="s">
        <v>82</v>
      </c>
      <c r="Y347" t="s">
        <v>82</v>
      </c>
      <c r="Z347" t="s">
        <v>82</v>
      </c>
      <c r="AA347">
        <v>18.873000000000001</v>
      </c>
      <c r="AB347">
        <v>17.849</v>
      </c>
      <c r="AC347">
        <v>19.154</v>
      </c>
      <c r="AD347">
        <v>19.71</v>
      </c>
      <c r="AE347">
        <v>19.271000000000001</v>
      </c>
      <c r="AF347">
        <v>19.664000000000001</v>
      </c>
      <c r="AG347">
        <v>19.065999999999999</v>
      </c>
      <c r="AH347">
        <v>19.547000000000001</v>
      </c>
      <c r="AI347">
        <v>21.041</v>
      </c>
      <c r="AJ347">
        <v>22.77</v>
      </c>
      <c r="AK347">
        <v>21.887</v>
      </c>
      <c r="AL347">
        <v>21.411000000000001</v>
      </c>
      <c r="AM347">
        <v>21.449000000000002</v>
      </c>
      <c r="AN347">
        <v>21.353999999999999</v>
      </c>
      <c r="AO347">
        <v>20.629000000000001</v>
      </c>
      <c r="AP347">
        <v>21.873999999999999</v>
      </c>
      <c r="AQ347">
        <v>21.774999999999999</v>
      </c>
      <c r="AR347">
        <v>24.768999999999998</v>
      </c>
      <c r="AS347">
        <v>23.905000000000001</v>
      </c>
      <c r="AT347">
        <v>22.759</v>
      </c>
      <c r="AU347">
        <v>22.731999999999999</v>
      </c>
      <c r="AV347">
        <v>22.731999999999999</v>
      </c>
      <c r="AW347">
        <v>22.731999999999999</v>
      </c>
    </row>
    <row r="348" spans="1:49" x14ac:dyDescent="0.35">
      <c r="A348" t="s">
        <v>10</v>
      </c>
      <c r="B348" t="s">
        <v>107</v>
      </c>
      <c r="C348" t="s">
        <v>108</v>
      </c>
      <c r="D348" t="s">
        <v>31</v>
      </c>
      <c r="E348" t="s">
        <v>32</v>
      </c>
      <c r="F348" t="s">
        <v>174</v>
      </c>
      <c r="G348" t="s">
        <v>82</v>
      </c>
      <c r="H348" t="s">
        <v>82</v>
      </c>
      <c r="I348" t="s">
        <v>82</v>
      </c>
      <c r="J348" t="s">
        <v>82</v>
      </c>
      <c r="K348" t="s">
        <v>82</v>
      </c>
      <c r="L348" t="s">
        <v>82</v>
      </c>
      <c r="M348" t="s">
        <v>82</v>
      </c>
      <c r="N348" t="s">
        <v>82</v>
      </c>
      <c r="O348" t="s">
        <v>82</v>
      </c>
      <c r="P348" t="s">
        <v>82</v>
      </c>
      <c r="Q348">
        <v>9.423</v>
      </c>
      <c r="R348">
        <v>9.65</v>
      </c>
      <c r="S348">
        <v>10.621</v>
      </c>
      <c r="T348">
        <v>11.154999999999999</v>
      </c>
      <c r="U348">
        <v>14.718999999999999</v>
      </c>
      <c r="V348">
        <v>16.042999999999999</v>
      </c>
      <c r="W348">
        <v>16.873999999999999</v>
      </c>
      <c r="X348">
        <v>18.571000000000002</v>
      </c>
      <c r="Y348">
        <v>20.488</v>
      </c>
      <c r="Z348">
        <v>23.506</v>
      </c>
      <c r="AA348">
        <v>28.8</v>
      </c>
      <c r="AB348">
        <v>31.850999999999999</v>
      </c>
      <c r="AC348">
        <v>35.738999999999997</v>
      </c>
      <c r="AD348">
        <v>40.258000000000003</v>
      </c>
      <c r="AE348">
        <v>43.174999999999997</v>
      </c>
      <c r="AF348">
        <v>46.631</v>
      </c>
      <c r="AG348">
        <v>50.054000000000002</v>
      </c>
      <c r="AH348">
        <v>55.680999999999997</v>
      </c>
      <c r="AI348">
        <v>65.388000000000005</v>
      </c>
      <c r="AJ348">
        <v>74.366</v>
      </c>
      <c r="AK348">
        <v>75.049000000000007</v>
      </c>
      <c r="AL348">
        <v>79.569999999999993</v>
      </c>
      <c r="AM348">
        <v>80.114999999999995</v>
      </c>
      <c r="AN348">
        <v>91.048000000000002</v>
      </c>
      <c r="AO348">
        <v>92.213999999999999</v>
      </c>
      <c r="AP348">
        <v>102.877</v>
      </c>
      <c r="AQ348">
        <v>109.87</v>
      </c>
      <c r="AR348">
        <v>127.71599999999999</v>
      </c>
      <c r="AS348">
        <v>131.63399999999999</v>
      </c>
      <c r="AT348">
        <v>134.358</v>
      </c>
      <c r="AU348">
        <v>144.042</v>
      </c>
      <c r="AV348">
        <v>154.29599999999999</v>
      </c>
      <c r="AW348">
        <v>165.25899999999999</v>
      </c>
    </row>
    <row r="349" spans="1:49" x14ac:dyDescent="0.35">
      <c r="A349" t="s">
        <v>10</v>
      </c>
      <c r="B349" t="s">
        <v>107</v>
      </c>
      <c r="C349" t="s">
        <v>108</v>
      </c>
      <c r="D349" t="s">
        <v>70</v>
      </c>
      <c r="F349" t="s">
        <v>109</v>
      </c>
      <c r="G349" t="s">
        <v>82</v>
      </c>
      <c r="H349" t="s">
        <v>82</v>
      </c>
      <c r="I349" t="s">
        <v>82</v>
      </c>
      <c r="J349" t="s">
        <v>82</v>
      </c>
      <c r="K349" t="s">
        <v>82</v>
      </c>
      <c r="L349" t="s">
        <v>82</v>
      </c>
      <c r="M349" t="s">
        <v>82</v>
      </c>
      <c r="N349" t="s">
        <v>82</v>
      </c>
      <c r="O349" t="s">
        <v>82</v>
      </c>
      <c r="P349" t="s">
        <v>82</v>
      </c>
      <c r="Q349" t="s">
        <v>82</v>
      </c>
      <c r="R349" t="s">
        <v>82</v>
      </c>
      <c r="S349" t="s">
        <v>82</v>
      </c>
      <c r="T349" t="s">
        <v>82</v>
      </c>
      <c r="U349" t="s">
        <v>82</v>
      </c>
      <c r="V349" t="s">
        <v>82</v>
      </c>
      <c r="W349" t="s">
        <v>82</v>
      </c>
      <c r="X349" t="s">
        <v>82</v>
      </c>
      <c r="Y349" t="s">
        <v>82</v>
      </c>
      <c r="Z349">
        <v>21.486000000000001</v>
      </c>
      <c r="AA349">
        <v>23.527000000000001</v>
      </c>
      <c r="AB349">
        <v>23.7</v>
      </c>
      <c r="AC349">
        <v>24.638000000000002</v>
      </c>
      <c r="AD349">
        <v>24.806000000000001</v>
      </c>
      <c r="AE349">
        <v>23.866</v>
      </c>
      <c r="AF349">
        <v>24.364000000000001</v>
      </c>
      <c r="AG349">
        <v>23.451000000000001</v>
      </c>
      <c r="AH349">
        <v>22.82</v>
      </c>
      <c r="AI349">
        <v>23.837</v>
      </c>
      <c r="AJ349">
        <v>26.338000000000001</v>
      </c>
      <c r="AK349">
        <v>25.085999999999999</v>
      </c>
      <c r="AL349">
        <v>24.611000000000001</v>
      </c>
      <c r="AM349">
        <v>23.292999999999999</v>
      </c>
      <c r="AN349">
        <v>24.853999999999999</v>
      </c>
      <c r="AO349">
        <v>23.875</v>
      </c>
      <c r="AP349">
        <v>25.494</v>
      </c>
      <c r="AQ349">
        <v>25.443000000000001</v>
      </c>
      <c r="AR349">
        <v>28.184000000000001</v>
      </c>
      <c r="AS349">
        <v>27.146999999999998</v>
      </c>
      <c r="AT349">
        <v>25.765000000000001</v>
      </c>
      <c r="AU349">
        <v>25.710999999999999</v>
      </c>
      <c r="AV349">
        <v>25.693000000000001</v>
      </c>
      <c r="AW349">
        <v>25.670999999999999</v>
      </c>
    </row>
    <row r="350" spans="1:49" x14ac:dyDescent="0.35">
      <c r="A350" t="s">
        <v>10</v>
      </c>
      <c r="B350" t="s">
        <v>110</v>
      </c>
      <c r="C350" t="s">
        <v>111</v>
      </c>
      <c r="D350" t="s">
        <v>31</v>
      </c>
      <c r="E350" t="s">
        <v>32</v>
      </c>
      <c r="F350" t="s">
        <v>174</v>
      </c>
      <c r="G350" t="s">
        <v>82</v>
      </c>
      <c r="H350" t="s">
        <v>82</v>
      </c>
      <c r="I350" t="s">
        <v>82</v>
      </c>
      <c r="J350" t="s">
        <v>82</v>
      </c>
      <c r="K350" t="s">
        <v>82</v>
      </c>
      <c r="L350" t="s">
        <v>82</v>
      </c>
      <c r="M350" t="s">
        <v>82</v>
      </c>
      <c r="N350" t="s">
        <v>82</v>
      </c>
      <c r="O350" t="s">
        <v>82</v>
      </c>
      <c r="P350" t="s">
        <v>82</v>
      </c>
      <c r="Q350" t="s">
        <v>82</v>
      </c>
      <c r="R350" t="s">
        <v>82</v>
      </c>
      <c r="S350" t="s">
        <v>82</v>
      </c>
      <c r="T350" t="s">
        <v>82</v>
      </c>
      <c r="U350" t="s">
        <v>82</v>
      </c>
      <c r="V350" t="s">
        <v>82</v>
      </c>
      <c r="W350" t="s">
        <v>82</v>
      </c>
      <c r="X350" t="s">
        <v>82</v>
      </c>
      <c r="Y350" t="s">
        <v>82</v>
      </c>
      <c r="Z350" t="s">
        <v>82</v>
      </c>
      <c r="AA350">
        <v>-5.6970000000000001</v>
      </c>
      <c r="AB350">
        <v>-7.8630000000000004</v>
      </c>
      <c r="AC350">
        <v>-7.9539999999999997</v>
      </c>
      <c r="AD350">
        <v>-8.2710000000000008</v>
      </c>
      <c r="AE350">
        <v>-8.3119999999999994</v>
      </c>
      <c r="AF350">
        <v>-8.9960000000000004</v>
      </c>
      <c r="AG350">
        <v>-9.36</v>
      </c>
      <c r="AH350">
        <v>-7.9850000000000003</v>
      </c>
      <c r="AI350">
        <v>-7.6689999999999996</v>
      </c>
      <c r="AJ350">
        <v>-10.074999999999999</v>
      </c>
      <c r="AK350">
        <v>-9.5690000000000008</v>
      </c>
      <c r="AL350">
        <v>-10.347</v>
      </c>
      <c r="AM350">
        <v>-6.3419999999999996</v>
      </c>
      <c r="AN350">
        <v>-12.823</v>
      </c>
      <c r="AO350">
        <v>-12.54</v>
      </c>
      <c r="AP350">
        <v>-14.608000000000001</v>
      </c>
      <c r="AQ350">
        <v>-15.843</v>
      </c>
      <c r="AR350">
        <v>-15.474</v>
      </c>
      <c r="AS350">
        <v>-15.718999999999999</v>
      </c>
      <c r="AT350">
        <v>-15.678000000000001</v>
      </c>
      <c r="AU350">
        <v>-16.687000000000001</v>
      </c>
      <c r="AV350">
        <v>-17.78</v>
      </c>
      <c r="AW350">
        <v>-18.923999999999999</v>
      </c>
    </row>
    <row r="351" spans="1:49" x14ac:dyDescent="0.35">
      <c r="A351" t="s">
        <v>10</v>
      </c>
      <c r="B351" t="s">
        <v>110</v>
      </c>
      <c r="C351" t="s">
        <v>111</v>
      </c>
      <c r="D351" t="s">
        <v>70</v>
      </c>
      <c r="F351" t="s">
        <v>112</v>
      </c>
      <c r="G351" t="s">
        <v>82</v>
      </c>
      <c r="H351" t="s">
        <v>82</v>
      </c>
      <c r="I351" t="s">
        <v>82</v>
      </c>
      <c r="J351" t="s">
        <v>82</v>
      </c>
      <c r="K351" t="s">
        <v>82</v>
      </c>
      <c r="L351" t="s">
        <v>82</v>
      </c>
      <c r="M351" t="s">
        <v>82</v>
      </c>
      <c r="N351" t="s">
        <v>82</v>
      </c>
      <c r="O351" t="s">
        <v>82</v>
      </c>
      <c r="P351" t="s">
        <v>82</v>
      </c>
      <c r="Q351" t="s">
        <v>82</v>
      </c>
      <c r="R351" t="s">
        <v>82</v>
      </c>
      <c r="S351" t="s">
        <v>82</v>
      </c>
      <c r="T351" t="s">
        <v>82</v>
      </c>
      <c r="U351" t="s">
        <v>82</v>
      </c>
      <c r="V351" t="s">
        <v>82</v>
      </c>
      <c r="W351" t="s">
        <v>82</v>
      </c>
      <c r="X351" t="s">
        <v>82</v>
      </c>
      <c r="Y351" t="s">
        <v>82</v>
      </c>
      <c r="Z351" t="s">
        <v>82</v>
      </c>
      <c r="AA351">
        <v>-4.6539999999999999</v>
      </c>
      <c r="AB351">
        <v>-5.851</v>
      </c>
      <c r="AC351">
        <v>-5.484</v>
      </c>
      <c r="AD351">
        <v>-5.0960000000000001</v>
      </c>
      <c r="AE351">
        <v>-4.5949999999999998</v>
      </c>
      <c r="AF351">
        <v>-4.7</v>
      </c>
      <c r="AG351">
        <v>-4.3849999999999998</v>
      </c>
      <c r="AH351">
        <v>-3.2730000000000001</v>
      </c>
      <c r="AI351">
        <v>-2.7959999999999998</v>
      </c>
      <c r="AJ351">
        <v>-3.5680000000000001</v>
      </c>
      <c r="AK351">
        <v>-3.1989999999999998</v>
      </c>
      <c r="AL351">
        <v>-3.2</v>
      </c>
      <c r="AM351">
        <v>-1.8440000000000001</v>
      </c>
      <c r="AN351">
        <v>-3.5009999999999999</v>
      </c>
      <c r="AO351">
        <v>-3.2469999999999999</v>
      </c>
      <c r="AP351">
        <v>-3.62</v>
      </c>
      <c r="AQ351">
        <v>-3.669</v>
      </c>
      <c r="AR351">
        <v>-3.415</v>
      </c>
      <c r="AS351">
        <v>-3.242</v>
      </c>
      <c r="AT351">
        <v>-3.0070000000000001</v>
      </c>
      <c r="AU351">
        <v>-2.9790000000000001</v>
      </c>
      <c r="AV351">
        <v>-2.9609999999999999</v>
      </c>
      <c r="AW351">
        <v>-2.94</v>
      </c>
    </row>
    <row r="352" spans="1:49" x14ac:dyDescent="0.35">
      <c r="A352" t="s">
        <v>10</v>
      </c>
      <c r="B352" t="s">
        <v>113</v>
      </c>
      <c r="C352" t="s">
        <v>114</v>
      </c>
      <c r="D352" t="s">
        <v>31</v>
      </c>
      <c r="E352" t="s">
        <v>32</v>
      </c>
      <c r="F352" t="s">
        <v>174</v>
      </c>
      <c r="G352" t="s">
        <v>82</v>
      </c>
      <c r="H352" t="s">
        <v>82</v>
      </c>
      <c r="I352" t="s">
        <v>82</v>
      </c>
      <c r="J352" t="s">
        <v>82</v>
      </c>
      <c r="K352" t="s">
        <v>82</v>
      </c>
      <c r="L352" t="s">
        <v>82</v>
      </c>
      <c r="M352">
        <v>0.13700000000000001</v>
      </c>
      <c r="N352">
        <v>-0.56299999999999994</v>
      </c>
      <c r="O352">
        <v>-0.93899999999999995</v>
      </c>
      <c r="P352">
        <v>-0.77</v>
      </c>
      <c r="Q352">
        <v>-0.873</v>
      </c>
      <c r="R352">
        <v>-0.40600000000000003</v>
      </c>
      <c r="S352">
        <v>-1.0349999999999999</v>
      </c>
      <c r="T352">
        <v>-1.123</v>
      </c>
      <c r="U352">
        <v>-1.466</v>
      </c>
      <c r="V352">
        <v>-1.716</v>
      </c>
      <c r="W352">
        <v>-1.9330000000000001</v>
      </c>
      <c r="X352">
        <v>-1.2330000000000001</v>
      </c>
      <c r="Y352">
        <v>-0.72099999999999997</v>
      </c>
      <c r="Z352">
        <v>9.9000000000000005E-2</v>
      </c>
      <c r="AA352">
        <v>-1.976</v>
      </c>
      <c r="AB352">
        <v>-3.5070000000000001</v>
      </c>
      <c r="AC352">
        <v>-2.3879999999999999</v>
      </c>
      <c r="AD352">
        <v>-2.4260000000000002</v>
      </c>
      <c r="AE352">
        <v>-2.1589999999999998</v>
      </c>
      <c r="AF352">
        <v>-1.345</v>
      </c>
      <c r="AG352">
        <v>-0.95299999999999996</v>
      </c>
      <c r="AH352">
        <v>2.9449999999999998</v>
      </c>
      <c r="AI352">
        <v>4.7309999999999999</v>
      </c>
      <c r="AJ352">
        <v>0.23400000000000001</v>
      </c>
      <c r="AK352">
        <v>-3.03</v>
      </c>
      <c r="AL352">
        <v>-1.0860000000000001</v>
      </c>
      <c r="AM352">
        <v>0.54100000000000004</v>
      </c>
      <c r="AN352">
        <v>-3.5640000000000001</v>
      </c>
      <c r="AO352">
        <v>-6.3579999999999997</v>
      </c>
      <c r="AP352">
        <v>-4.7119999999999997</v>
      </c>
      <c r="AQ352">
        <v>-6.3630000000000004</v>
      </c>
      <c r="AR352">
        <v>-9.9990000000000006</v>
      </c>
      <c r="AS352">
        <v>-8.1969999999999992</v>
      </c>
      <c r="AT352">
        <v>-1.9379999999999999</v>
      </c>
      <c r="AU352">
        <v>-2.2280000000000002</v>
      </c>
      <c r="AV352">
        <v>-2.6419999999999999</v>
      </c>
      <c r="AW352">
        <v>-3.093</v>
      </c>
    </row>
    <row r="353" spans="1:49" x14ac:dyDescent="0.35">
      <c r="A353" t="s">
        <v>10</v>
      </c>
      <c r="B353" t="s">
        <v>113</v>
      </c>
      <c r="C353" t="s">
        <v>114</v>
      </c>
      <c r="D353" t="s">
        <v>61</v>
      </c>
      <c r="F353" t="s">
        <v>175</v>
      </c>
      <c r="G353" t="s">
        <v>82</v>
      </c>
      <c r="H353" t="s">
        <v>82</v>
      </c>
      <c r="I353" t="s">
        <v>82</v>
      </c>
      <c r="J353" t="s">
        <v>82</v>
      </c>
      <c r="K353" t="s">
        <v>82</v>
      </c>
      <c r="L353" t="s">
        <v>82</v>
      </c>
      <c r="M353">
        <v>0.246</v>
      </c>
      <c r="N353">
        <v>-0.93100000000000005</v>
      </c>
      <c r="O353">
        <v>-1.444</v>
      </c>
      <c r="P353">
        <v>-1.1240000000000001</v>
      </c>
      <c r="Q353">
        <v>-1.1910000000000001</v>
      </c>
      <c r="R353">
        <v>-0.53</v>
      </c>
      <c r="S353">
        <v>-1.2709999999999999</v>
      </c>
      <c r="T353">
        <v>-1.3160000000000001</v>
      </c>
      <c r="U353">
        <v>-1.64</v>
      </c>
      <c r="V353">
        <v>-1.8340000000000001</v>
      </c>
      <c r="W353">
        <v>-1.9590000000000001</v>
      </c>
      <c r="X353">
        <v>-1.1919999999999999</v>
      </c>
      <c r="Y353">
        <v>-0.65400000000000003</v>
      </c>
      <c r="Z353">
        <v>0.09</v>
      </c>
      <c r="AA353">
        <v>-1.655</v>
      </c>
      <c r="AB353">
        <v>-2.645</v>
      </c>
      <c r="AC353">
        <v>-1.6259999999999999</v>
      </c>
      <c r="AD353">
        <v>-1.5009999999999999</v>
      </c>
      <c r="AE353">
        <v>-1.2</v>
      </c>
      <c r="AF353">
        <v>-0.68899999999999995</v>
      </c>
      <c r="AG353">
        <v>-0.439</v>
      </c>
      <c r="AH353">
        <v>1.2070000000000001</v>
      </c>
      <c r="AI353">
        <v>1.75</v>
      </c>
      <c r="AJ353">
        <v>8.3000000000000004E-2</v>
      </c>
      <c r="AK353">
        <v>-1.02</v>
      </c>
      <c r="AL353">
        <v>-0.33800000000000002</v>
      </c>
      <c r="AM353">
        <v>0.157</v>
      </c>
      <c r="AN353">
        <v>-0.96899999999999997</v>
      </c>
      <c r="AO353">
        <v>-1.6359999999999999</v>
      </c>
      <c r="AP353">
        <v>-1.157</v>
      </c>
      <c r="AQ353">
        <v>-1.4610000000000001</v>
      </c>
      <c r="AR353">
        <v>-2.206</v>
      </c>
      <c r="AS353">
        <v>-1.6910000000000001</v>
      </c>
      <c r="AT353">
        <v>-0.372</v>
      </c>
      <c r="AU353">
        <v>-0.39800000000000002</v>
      </c>
      <c r="AV353">
        <v>-0.44</v>
      </c>
      <c r="AW353">
        <v>-0.48099999999999998</v>
      </c>
    </row>
    <row r="354" spans="1:49" x14ac:dyDescent="0.35">
      <c r="A354" t="s">
        <v>10</v>
      </c>
      <c r="B354" t="s">
        <v>115</v>
      </c>
      <c r="C354" t="s">
        <v>116</v>
      </c>
      <c r="D354" t="s">
        <v>31</v>
      </c>
      <c r="E354" t="s">
        <v>32</v>
      </c>
      <c r="F354" t="s">
        <v>174</v>
      </c>
      <c r="G354" t="s">
        <v>82</v>
      </c>
      <c r="H354" t="s">
        <v>82</v>
      </c>
      <c r="I354" t="s">
        <v>82</v>
      </c>
      <c r="J354" t="s">
        <v>82</v>
      </c>
      <c r="K354" t="s">
        <v>82</v>
      </c>
      <c r="L354" t="s">
        <v>82</v>
      </c>
      <c r="M354" t="s">
        <v>82</v>
      </c>
      <c r="N354" t="s">
        <v>82</v>
      </c>
      <c r="O354" t="s">
        <v>82</v>
      </c>
      <c r="P354" t="s">
        <v>82</v>
      </c>
      <c r="Q354" t="s">
        <v>82</v>
      </c>
      <c r="R354" t="s">
        <v>82</v>
      </c>
      <c r="S354" t="s">
        <v>82</v>
      </c>
      <c r="T354" t="s">
        <v>82</v>
      </c>
      <c r="U354" t="s">
        <v>82</v>
      </c>
      <c r="V354" t="s">
        <v>82</v>
      </c>
      <c r="W354" t="s">
        <v>82</v>
      </c>
      <c r="X354" t="s">
        <v>82</v>
      </c>
      <c r="Y354" t="s">
        <v>82</v>
      </c>
      <c r="Z354" t="s">
        <v>82</v>
      </c>
      <c r="AA354">
        <v>-1.006</v>
      </c>
      <c r="AB354">
        <v>-2.8290000000000002</v>
      </c>
      <c r="AC354">
        <v>-2.4889999999999999</v>
      </c>
      <c r="AD354">
        <v>-1.7829999999999999</v>
      </c>
      <c r="AE354">
        <v>-1.427</v>
      </c>
      <c r="AF354">
        <v>-1.7270000000000001</v>
      </c>
      <c r="AG354">
        <v>-1.2410000000000001</v>
      </c>
      <c r="AH354">
        <v>1.7929999999999999</v>
      </c>
      <c r="AI354">
        <v>3.012</v>
      </c>
      <c r="AJ354">
        <v>0.59499999999999997</v>
      </c>
      <c r="AK354">
        <v>0.28999999999999998</v>
      </c>
      <c r="AL354">
        <v>-1.093</v>
      </c>
      <c r="AM354">
        <v>3.4020000000000001</v>
      </c>
      <c r="AN354">
        <v>-3.5979999999999999</v>
      </c>
      <c r="AO354">
        <v>-2.9</v>
      </c>
      <c r="AP354">
        <v>-4.9550000000000001</v>
      </c>
      <c r="AQ354">
        <v>-5.2779999999999996</v>
      </c>
      <c r="AR354">
        <v>-3.9969999999999999</v>
      </c>
      <c r="AS354">
        <v>-2.847</v>
      </c>
      <c r="AT354">
        <v>-1.504</v>
      </c>
      <c r="AU354">
        <v>-1.4770000000000001</v>
      </c>
      <c r="AV354">
        <v>-1.476</v>
      </c>
      <c r="AW354">
        <v>-1.4470000000000001</v>
      </c>
    </row>
    <row r="355" spans="1:49" x14ac:dyDescent="0.35">
      <c r="A355" t="s">
        <v>10</v>
      </c>
      <c r="B355" t="s">
        <v>115</v>
      </c>
      <c r="C355" t="s">
        <v>116</v>
      </c>
      <c r="D355" t="s">
        <v>70</v>
      </c>
      <c r="F355" t="s">
        <v>117</v>
      </c>
      <c r="G355" t="s">
        <v>82</v>
      </c>
      <c r="H355" t="s">
        <v>82</v>
      </c>
      <c r="I355" t="s">
        <v>82</v>
      </c>
      <c r="J355" t="s">
        <v>82</v>
      </c>
      <c r="K355" t="s">
        <v>82</v>
      </c>
      <c r="L355" t="s">
        <v>82</v>
      </c>
      <c r="M355" t="s">
        <v>82</v>
      </c>
      <c r="N355" t="s">
        <v>82</v>
      </c>
      <c r="O355" t="s">
        <v>82</v>
      </c>
      <c r="P355" t="s">
        <v>82</v>
      </c>
      <c r="Q355" t="s">
        <v>82</v>
      </c>
      <c r="R355" t="s">
        <v>82</v>
      </c>
      <c r="S355" t="s">
        <v>82</v>
      </c>
      <c r="T355" t="s">
        <v>82</v>
      </c>
      <c r="U355" t="s">
        <v>82</v>
      </c>
      <c r="V355" t="s">
        <v>82</v>
      </c>
      <c r="W355" t="s">
        <v>82</v>
      </c>
      <c r="X355" t="s">
        <v>82</v>
      </c>
      <c r="Y355" t="s">
        <v>82</v>
      </c>
      <c r="Z355" t="s">
        <v>82</v>
      </c>
      <c r="AA355">
        <v>-0.82199999999999995</v>
      </c>
      <c r="AB355">
        <v>-2.105</v>
      </c>
      <c r="AC355">
        <v>-1.716</v>
      </c>
      <c r="AD355">
        <v>-1.099</v>
      </c>
      <c r="AE355">
        <v>-0.78900000000000003</v>
      </c>
      <c r="AF355">
        <v>-0.90200000000000002</v>
      </c>
      <c r="AG355">
        <v>-0.58199999999999996</v>
      </c>
      <c r="AH355">
        <v>0.73499999999999999</v>
      </c>
      <c r="AI355">
        <v>1.0980000000000001</v>
      </c>
      <c r="AJ355">
        <v>0.21099999999999999</v>
      </c>
      <c r="AK355">
        <v>9.7000000000000003E-2</v>
      </c>
      <c r="AL355">
        <v>-0.33800000000000002</v>
      </c>
      <c r="AM355">
        <v>0.98899999999999999</v>
      </c>
      <c r="AN355">
        <v>-0.98199999999999998</v>
      </c>
      <c r="AO355">
        <v>-0.751</v>
      </c>
      <c r="AP355">
        <v>-1.228</v>
      </c>
      <c r="AQ355">
        <v>-1.222</v>
      </c>
      <c r="AR355">
        <v>-0.88200000000000001</v>
      </c>
      <c r="AS355">
        <v>-0.58699999999999997</v>
      </c>
      <c r="AT355">
        <v>-0.28799999999999998</v>
      </c>
      <c r="AU355">
        <v>-0.26400000000000001</v>
      </c>
      <c r="AV355">
        <v>-0.246</v>
      </c>
      <c r="AW355">
        <v>-0.22500000000000001</v>
      </c>
    </row>
    <row r="356" spans="1:49" x14ac:dyDescent="0.35">
      <c r="A356" t="s">
        <v>10</v>
      </c>
      <c r="B356" t="s">
        <v>118</v>
      </c>
      <c r="C356" t="s">
        <v>119</v>
      </c>
      <c r="D356" t="s">
        <v>31</v>
      </c>
      <c r="E356" t="s">
        <v>32</v>
      </c>
    </row>
    <row r="357" spans="1:49" x14ac:dyDescent="0.35">
      <c r="A357" t="s">
        <v>10</v>
      </c>
      <c r="B357" t="s">
        <v>118</v>
      </c>
      <c r="C357" t="s">
        <v>119</v>
      </c>
      <c r="D357" t="s">
        <v>70</v>
      </c>
    </row>
    <row r="358" spans="1:49" x14ac:dyDescent="0.35">
      <c r="A358" t="s">
        <v>10</v>
      </c>
      <c r="B358" t="s">
        <v>120</v>
      </c>
      <c r="C358" t="s">
        <v>121</v>
      </c>
      <c r="D358" t="s">
        <v>31</v>
      </c>
      <c r="E358" t="s">
        <v>32</v>
      </c>
      <c r="F358" t="s">
        <v>174</v>
      </c>
      <c r="G358" t="s">
        <v>82</v>
      </c>
      <c r="H358" t="s">
        <v>82</v>
      </c>
      <c r="I358" t="s">
        <v>82</v>
      </c>
      <c r="J358" t="s">
        <v>82</v>
      </c>
      <c r="K358" t="s">
        <v>82</v>
      </c>
      <c r="L358" t="s">
        <v>82</v>
      </c>
      <c r="M358" t="s">
        <v>82</v>
      </c>
      <c r="N358" t="s">
        <v>82</v>
      </c>
      <c r="O358" t="s">
        <v>82</v>
      </c>
      <c r="P358" t="s">
        <v>82</v>
      </c>
      <c r="Q358" t="s">
        <v>82</v>
      </c>
      <c r="R358" t="s">
        <v>82</v>
      </c>
      <c r="S358" t="s">
        <v>82</v>
      </c>
      <c r="T358" t="s">
        <v>82</v>
      </c>
      <c r="U358" t="s">
        <v>82</v>
      </c>
      <c r="V358" t="s">
        <v>82</v>
      </c>
      <c r="W358" t="s">
        <v>82</v>
      </c>
      <c r="X358" t="s">
        <v>82</v>
      </c>
      <c r="Y358" t="s">
        <v>82</v>
      </c>
      <c r="Z358" t="s">
        <v>82</v>
      </c>
      <c r="AA358">
        <v>55.448999999999998</v>
      </c>
      <c r="AB358">
        <v>60.209000000000003</v>
      </c>
      <c r="AC358">
        <v>76.2</v>
      </c>
      <c r="AD358">
        <v>95.918999999999997</v>
      </c>
      <c r="AE358">
        <v>93.524000000000001</v>
      </c>
      <c r="AF358">
        <v>102.453</v>
      </c>
      <c r="AG358">
        <v>108.887</v>
      </c>
      <c r="AH358">
        <v>115.37</v>
      </c>
      <c r="AI358">
        <v>120.78100000000001</v>
      </c>
      <c r="AJ358">
        <v>147.583</v>
      </c>
      <c r="AK358">
        <v>155.68199999999999</v>
      </c>
      <c r="AL358">
        <v>168.86600000000001</v>
      </c>
      <c r="AM358">
        <v>177.03800000000001</v>
      </c>
      <c r="AN358">
        <v>197.30600000000001</v>
      </c>
      <c r="AO358">
        <v>222.24700000000001</v>
      </c>
      <c r="AP358">
        <v>251.40100000000001</v>
      </c>
      <c r="AQ358">
        <v>265.54700000000003</v>
      </c>
      <c r="AR358">
        <v>271.39299999999997</v>
      </c>
      <c r="AS358">
        <v>294.13299999999998</v>
      </c>
      <c r="AT358">
        <v>311.54700000000003</v>
      </c>
      <c r="AU358">
        <v>330.01499999999999</v>
      </c>
      <c r="AV358">
        <v>349.59500000000003</v>
      </c>
      <c r="AW358">
        <v>370.19</v>
      </c>
    </row>
    <row r="359" spans="1:49" x14ac:dyDescent="0.35">
      <c r="A359" t="s">
        <v>10</v>
      </c>
      <c r="B359" t="s">
        <v>120</v>
      </c>
      <c r="C359" t="s">
        <v>121</v>
      </c>
      <c r="D359" t="s">
        <v>70</v>
      </c>
      <c r="F359" t="s">
        <v>122</v>
      </c>
      <c r="G359" t="s">
        <v>82</v>
      </c>
      <c r="H359" t="s">
        <v>82</v>
      </c>
      <c r="I359" t="s">
        <v>82</v>
      </c>
      <c r="J359" t="s">
        <v>82</v>
      </c>
      <c r="K359" t="s">
        <v>82</v>
      </c>
      <c r="L359" t="s">
        <v>82</v>
      </c>
      <c r="M359" t="s">
        <v>82</v>
      </c>
      <c r="N359" t="s">
        <v>82</v>
      </c>
      <c r="O359" t="s">
        <v>82</v>
      </c>
      <c r="P359" t="s">
        <v>82</v>
      </c>
      <c r="Q359" t="s">
        <v>82</v>
      </c>
      <c r="R359" t="s">
        <v>82</v>
      </c>
      <c r="S359" t="s">
        <v>82</v>
      </c>
      <c r="T359" t="s">
        <v>82</v>
      </c>
      <c r="U359" t="s">
        <v>82</v>
      </c>
      <c r="V359" t="s">
        <v>82</v>
      </c>
      <c r="W359" t="s">
        <v>82</v>
      </c>
      <c r="X359" t="s">
        <v>82</v>
      </c>
      <c r="Y359" t="s">
        <v>82</v>
      </c>
      <c r="Z359" t="s">
        <v>82</v>
      </c>
      <c r="AA359">
        <v>45.298000000000002</v>
      </c>
      <c r="AB359">
        <v>44.801000000000002</v>
      </c>
      <c r="AC359">
        <v>52.531999999999996</v>
      </c>
      <c r="AD359">
        <v>59.103000000000002</v>
      </c>
      <c r="AE359">
        <v>51.697000000000003</v>
      </c>
      <c r="AF359">
        <v>53.53</v>
      </c>
      <c r="AG359">
        <v>51.015000000000001</v>
      </c>
      <c r="AH359">
        <v>47.283000000000001</v>
      </c>
      <c r="AI359">
        <v>44.03</v>
      </c>
      <c r="AJ359">
        <v>52.268999999999998</v>
      </c>
      <c r="AK359">
        <v>52.037999999999997</v>
      </c>
      <c r="AL359">
        <v>52.23</v>
      </c>
      <c r="AM359">
        <v>51.472999999999999</v>
      </c>
      <c r="AN359">
        <v>53.860999999999997</v>
      </c>
      <c r="AO359">
        <v>57.542999999999999</v>
      </c>
      <c r="AP359">
        <v>62.298999999999999</v>
      </c>
      <c r="AQ359">
        <v>61.494</v>
      </c>
      <c r="AR359">
        <v>59.89</v>
      </c>
      <c r="AS359">
        <v>60.658000000000001</v>
      </c>
      <c r="AT359">
        <v>59.744</v>
      </c>
      <c r="AU359">
        <v>58.905000000000001</v>
      </c>
      <c r="AV359">
        <v>58.213000000000001</v>
      </c>
      <c r="AW359">
        <v>57.506</v>
      </c>
    </row>
    <row r="360" spans="1:49" x14ac:dyDescent="0.35">
      <c r="A360" t="s">
        <v>10</v>
      </c>
      <c r="B360" t="s">
        <v>123</v>
      </c>
      <c r="C360" t="s">
        <v>124</v>
      </c>
      <c r="D360" t="s">
        <v>31</v>
      </c>
      <c r="E360" t="s">
        <v>32</v>
      </c>
      <c r="F360" t="s">
        <v>174</v>
      </c>
      <c r="G360" t="s">
        <v>82</v>
      </c>
      <c r="H360" t="s">
        <v>82</v>
      </c>
      <c r="I360" t="s">
        <v>82</v>
      </c>
      <c r="J360" t="s">
        <v>82</v>
      </c>
      <c r="K360" t="s">
        <v>82</v>
      </c>
      <c r="L360" t="s">
        <v>82</v>
      </c>
      <c r="M360" t="s">
        <v>82</v>
      </c>
      <c r="N360" t="s">
        <v>82</v>
      </c>
      <c r="O360" t="s">
        <v>82</v>
      </c>
      <c r="P360" t="s">
        <v>82</v>
      </c>
      <c r="Q360" t="s">
        <v>82</v>
      </c>
      <c r="R360" t="s">
        <v>82</v>
      </c>
      <c r="S360" t="s">
        <v>82</v>
      </c>
      <c r="T360" t="s">
        <v>82</v>
      </c>
      <c r="U360" t="s">
        <v>82</v>
      </c>
      <c r="V360" t="s">
        <v>82</v>
      </c>
      <c r="W360" t="s">
        <v>82</v>
      </c>
      <c r="X360" t="s">
        <v>82</v>
      </c>
      <c r="Y360" t="s">
        <v>82</v>
      </c>
      <c r="Z360">
        <v>109.4</v>
      </c>
      <c r="AA360">
        <v>122.41</v>
      </c>
      <c r="AB360">
        <v>134.392</v>
      </c>
      <c r="AC360">
        <v>145.05500000000001</v>
      </c>
      <c r="AD360">
        <v>162.29</v>
      </c>
      <c r="AE360">
        <v>180.90799999999999</v>
      </c>
      <c r="AF360">
        <v>191.393</v>
      </c>
      <c r="AG360">
        <v>213.44399999999999</v>
      </c>
      <c r="AH360">
        <v>243.99799999999999</v>
      </c>
      <c r="AI360">
        <v>274.31599999999997</v>
      </c>
      <c r="AJ360">
        <v>282.35399999999998</v>
      </c>
      <c r="AK360">
        <v>299.17099999999999</v>
      </c>
      <c r="AL360">
        <v>323.31</v>
      </c>
      <c r="AM360">
        <v>343.94200000000001</v>
      </c>
      <c r="AN360">
        <v>366.32499999999999</v>
      </c>
      <c r="AO360">
        <v>386.22899999999998</v>
      </c>
      <c r="AP360">
        <v>403.536</v>
      </c>
      <c r="AQ360">
        <v>431.82299999999998</v>
      </c>
      <c r="AR360">
        <v>453.15100000000001</v>
      </c>
      <c r="AS360">
        <v>484.9</v>
      </c>
      <c r="AT360">
        <v>521.46799999999996</v>
      </c>
      <c r="AU360">
        <v>560.24599999999998</v>
      </c>
      <c r="AV360">
        <v>600.54700000000003</v>
      </c>
      <c r="AW360">
        <v>643.74599999999998</v>
      </c>
    </row>
    <row r="361" spans="1:49" x14ac:dyDescent="0.35">
      <c r="A361" t="s">
        <v>10</v>
      </c>
      <c r="B361" t="s">
        <v>125</v>
      </c>
      <c r="C361" t="s">
        <v>126</v>
      </c>
      <c r="D361" t="s">
        <v>41</v>
      </c>
      <c r="E361" t="s">
        <v>32</v>
      </c>
      <c r="F361" t="s">
        <v>176</v>
      </c>
      <c r="G361">
        <v>-0.11700000000000001</v>
      </c>
      <c r="H361">
        <v>-0.14699999999999999</v>
      </c>
      <c r="I361">
        <v>-4.1000000000000002E-2</v>
      </c>
      <c r="J361">
        <v>-1.9E-2</v>
      </c>
      <c r="K361">
        <v>-5.0999999999999997E-2</v>
      </c>
      <c r="L361">
        <v>-0.03</v>
      </c>
      <c r="M361">
        <v>9.4E-2</v>
      </c>
      <c r="N361">
        <v>6.5000000000000002E-2</v>
      </c>
      <c r="O361">
        <v>-5.6000000000000001E-2</v>
      </c>
      <c r="P361">
        <v>-0.104</v>
      </c>
      <c r="Q361">
        <v>-0.11899999999999999</v>
      </c>
      <c r="R361">
        <v>-1.7000000000000001E-2</v>
      </c>
      <c r="S361" t="s">
        <v>39</v>
      </c>
      <c r="T361">
        <v>-9.1999999999999998E-2</v>
      </c>
      <c r="U361">
        <v>-0.23200000000000001</v>
      </c>
      <c r="V361">
        <v>-2.1999999999999999E-2</v>
      </c>
      <c r="W361">
        <v>3.4000000000000002E-2</v>
      </c>
      <c r="X361">
        <v>-8.8999999999999996E-2</v>
      </c>
      <c r="Y361">
        <v>3.0000000000000001E-3</v>
      </c>
      <c r="Z361">
        <v>-0.124</v>
      </c>
      <c r="AA361">
        <v>-3.4000000000000002E-2</v>
      </c>
      <c r="AB361">
        <v>0.27600000000000002</v>
      </c>
      <c r="AC361">
        <v>0.249</v>
      </c>
      <c r="AD361">
        <v>9.5000000000000001E-2</v>
      </c>
      <c r="AE361">
        <v>-0.11600000000000001</v>
      </c>
      <c r="AF361">
        <v>-0.32400000000000001</v>
      </c>
      <c r="AG361">
        <v>-0.61199999999999999</v>
      </c>
      <c r="AH361">
        <v>-0.42299999999999999</v>
      </c>
      <c r="AI361">
        <v>-0.97099999999999997</v>
      </c>
      <c r="AJ361">
        <v>-0.65400000000000003</v>
      </c>
      <c r="AK361">
        <v>-1.0029999999999999</v>
      </c>
      <c r="AL361">
        <v>-1.5549999999999999</v>
      </c>
      <c r="AM361">
        <v>-0.83399999999999996</v>
      </c>
      <c r="AN361">
        <v>-0.753</v>
      </c>
      <c r="AO361">
        <v>-0.71299999999999997</v>
      </c>
      <c r="AP361">
        <v>-0.56200000000000006</v>
      </c>
      <c r="AQ361">
        <v>-0.53100000000000003</v>
      </c>
      <c r="AR361">
        <v>-0.71</v>
      </c>
      <c r="AS361">
        <v>-0.80200000000000005</v>
      </c>
      <c r="AT361">
        <v>-1.1339999999999999</v>
      </c>
      <c r="AU361">
        <v>-0.88</v>
      </c>
      <c r="AV361">
        <v>-0.49399999999999999</v>
      </c>
      <c r="AW361">
        <v>-5.3999999999999999E-2</v>
      </c>
    </row>
    <row r="362" spans="1:49" x14ac:dyDescent="0.35">
      <c r="A362" t="s">
        <v>10</v>
      </c>
      <c r="B362" t="s">
        <v>125</v>
      </c>
      <c r="C362" t="s">
        <v>126</v>
      </c>
      <c r="D362" t="s">
        <v>70</v>
      </c>
      <c r="F362" t="s">
        <v>128</v>
      </c>
      <c r="G362">
        <v>-9.9830000000000005</v>
      </c>
      <c r="H362">
        <v>-13.172000000000001</v>
      </c>
      <c r="I362">
        <v>-3.847</v>
      </c>
      <c r="J362">
        <v>-1.6910000000000001</v>
      </c>
      <c r="K362">
        <v>-4.8780000000000001</v>
      </c>
      <c r="L362">
        <v>-2.7839999999999998</v>
      </c>
      <c r="M362">
        <v>6.57</v>
      </c>
      <c r="N362">
        <v>3.589</v>
      </c>
      <c r="O362">
        <v>-2.6720000000000002</v>
      </c>
      <c r="P362">
        <v>-4.7919999999999998</v>
      </c>
      <c r="Q362">
        <v>-4.5949999999999998</v>
      </c>
      <c r="R362">
        <v>-0.58299999999999996</v>
      </c>
      <c r="S362">
        <v>-4.0000000000000001E-3</v>
      </c>
      <c r="T362">
        <v>-2.7810000000000001</v>
      </c>
      <c r="U362">
        <v>-6.3179999999999996</v>
      </c>
      <c r="V362">
        <v>-0.52100000000000002</v>
      </c>
      <c r="W362">
        <v>0.78400000000000003</v>
      </c>
      <c r="X362">
        <v>-2.1840000000000002</v>
      </c>
      <c r="Y362">
        <v>0.08</v>
      </c>
      <c r="Z362">
        <v>-2.859</v>
      </c>
      <c r="AA362">
        <v>-0.73399999999999999</v>
      </c>
      <c r="AB362">
        <v>5.9809999999999999</v>
      </c>
      <c r="AC362">
        <v>5.15</v>
      </c>
      <c r="AD362">
        <v>1.6379999999999999</v>
      </c>
      <c r="AE362">
        <v>-1.7569999999999999</v>
      </c>
      <c r="AF362">
        <v>-5</v>
      </c>
      <c r="AG362">
        <v>-9.0890000000000004</v>
      </c>
      <c r="AH362">
        <v>-5.43</v>
      </c>
      <c r="AI362">
        <v>-10.073</v>
      </c>
      <c r="AJ362">
        <v>-7.407</v>
      </c>
      <c r="AK362">
        <v>-10.32</v>
      </c>
      <c r="AL362">
        <v>-13.804</v>
      </c>
      <c r="AM362">
        <v>-7.2850000000000001</v>
      </c>
      <c r="AN362">
        <v>-6.3120000000000003</v>
      </c>
      <c r="AO362">
        <v>-5.6509999999999998</v>
      </c>
      <c r="AP362">
        <v>-4.883</v>
      </c>
      <c r="AQ362">
        <v>-4.3719999999999999</v>
      </c>
      <c r="AR362">
        <v>-5.7839999999999998</v>
      </c>
      <c r="AS362">
        <v>-6.23</v>
      </c>
      <c r="AT362">
        <v>-8.3379999999999992</v>
      </c>
      <c r="AU362">
        <v>-6.1269999999999998</v>
      </c>
      <c r="AV362">
        <v>-3.2709999999999999</v>
      </c>
      <c r="AW362">
        <v>-0.33800000000000002</v>
      </c>
    </row>
    <row r="363" spans="1:49" x14ac:dyDescent="0.35">
      <c r="A363" t="s">
        <v>177</v>
      </c>
      <c r="B363" t="s">
        <v>29</v>
      </c>
      <c r="C363" t="s">
        <v>30</v>
      </c>
      <c r="D363" t="s">
        <v>31</v>
      </c>
      <c r="E363" t="s">
        <v>32</v>
      </c>
      <c r="F363" t="s">
        <v>178</v>
      </c>
      <c r="G363">
        <v>70.096999999999994</v>
      </c>
      <c r="H363">
        <v>73.602000000000004</v>
      </c>
      <c r="I363">
        <v>68.522999999999996</v>
      </c>
      <c r="J363">
        <v>57.765000000000001</v>
      </c>
      <c r="K363">
        <v>54.01</v>
      </c>
      <c r="L363">
        <v>54.551000000000002</v>
      </c>
      <c r="M363">
        <v>53.295999999999999</v>
      </c>
      <c r="N363">
        <v>61.13</v>
      </c>
      <c r="O363">
        <v>66.143000000000001</v>
      </c>
      <c r="P363">
        <v>70.441999999999993</v>
      </c>
      <c r="Q363">
        <v>71.147000000000006</v>
      </c>
      <c r="R363">
        <v>75.808000000000007</v>
      </c>
      <c r="S363">
        <v>71.841999999999999</v>
      </c>
      <c r="T363">
        <v>78.141000000000005</v>
      </c>
      <c r="U363">
        <v>82.953000000000003</v>
      </c>
      <c r="V363">
        <v>84.808999999999997</v>
      </c>
      <c r="W363">
        <v>107.577</v>
      </c>
      <c r="X363">
        <v>119.24</v>
      </c>
      <c r="Y363">
        <v>133.381</v>
      </c>
      <c r="Z363">
        <v>143.816</v>
      </c>
      <c r="AA363">
        <v>146.22999999999999</v>
      </c>
      <c r="AB363">
        <v>164.83199999999999</v>
      </c>
      <c r="AC363">
        <v>179.327</v>
      </c>
      <c r="AD363">
        <v>190.98400000000001</v>
      </c>
      <c r="AE363">
        <v>205.90199999999999</v>
      </c>
      <c r="AF363">
        <v>223.858</v>
      </c>
      <c r="AG363">
        <v>245.911</v>
      </c>
      <c r="AH363">
        <v>264.17200000000003</v>
      </c>
      <c r="AI363">
        <v>282.33699999999999</v>
      </c>
      <c r="AJ363">
        <v>300.27</v>
      </c>
      <c r="AK363">
        <v>320.351</v>
      </c>
      <c r="AL363">
        <v>343.15300000000002</v>
      </c>
      <c r="AM363">
        <v>367.85399999999998</v>
      </c>
      <c r="AN363">
        <v>394.12299999999999</v>
      </c>
      <c r="AO363">
        <v>423.46199999999999</v>
      </c>
      <c r="AP363">
        <v>451.38499999999999</v>
      </c>
      <c r="AQ363">
        <v>468.75900000000001</v>
      </c>
      <c r="AR363">
        <v>491.02</v>
      </c>
      <c r="AS363">
        <v>516.96100000000001</v>
      </c>
      <c r="AT363">
        <v>547.78399999999999</v>
      </c>
      <c r="AU363">
        <v>583.14800000000002</v>
      </c>
      <c r="AV363">
        <v>623.68299999999999</v>
      </c>
      <c r="AW363">
        <v>710.91200000000003</v>
      </c>
    </row>
    <row r="364" spans="1:49" x14ac:dyDescent="0.35">
      <c r="A364" t="s">
        <v>177</v>
      </c>
      <c r="B364" t="s">
        <v>29</v>
      </c>
      <c r="C364" t="s">
        <v>34</v>
      </c>
      <c r="D364" t="s">
        <v>35</v>
      </c>
      <c r="F364" t="s">
        <v>36</v>
      </c>
      <c r="G364">
        <v>4.2279999999999998</v>
      </c>
      <c r="H364">
        <v>5</v>
      </c>
      <c r="I364">
        <v>-6.9</v>
      </c>
      <c r="J364">
        <v>-15.7</v>
      </c>
      <c r="K364">
        <v>-6.5</v>
      </c>
      <c r="L364">
        <v>1</v>
      </c>
      <c r="M364">
        <v>-2.2999999999999998</v>
      </c>
      <c r="N364">
        <v>14.7</v>
      </c>
      <c r="O364">
        <v>8.1999999999999993</v>
      </c>
      <c r="P364">
        <v>6.5</v>
      </c>
      <c r="Q364">
        <v>1</v>
      </c>
      <c r="R364">
        <v>6.5519999999999996</v>
      </c>
      <c r="S364">
        <v>-5.2309999999999999</v>
      </c>
      <c r="T364">
        <v>8.7669999999999995</v>
      </c>
      <c r="U364">
        <v>6.1589999999999998</v>
      </c>
      <c r="V364">
        <v>2.2370000000000001</v>
      </c>
      <c r="W364">
        <v>26.844999999999999</v>
      </c>
      <c r="X364">
        <v>10.842000000000001</v>
      </c>
      <c r="Y364">
        <v>11.859</v>
      </c>
      <c r="Z364">
        <v>7.8230000000000004</v>
      </c>
      <c r="AA364">
        <v>1.679</v>
      </c>
      <c r="AB364">
        <v>12.721</v>
      </c>
      <c r="AC364">
        <v>8.7940000000000005</v>
      </c>
      <c r="AD364">
        <v>6.5010000000000003</v>
      </c>
      <c r="AE364">
        <v>7.8109999999999999</v>
      </c>
      <c r="AF364">
        <v>8.7210000000000001</v>
      </c>
      <c r="AG364">
        <v>9.8510000000000009</v>
      </c>
      <c r="AH364">
        <v>7.4260000000000002</v>
      </c>
      <c r="AI364">
        <v>6.8760000000000003</v>
      </c>
      <c r="AJ364">
        <v>6.351</v>
      </c>
      <c r="AK364">
        <v>6.6879999999999997</v>
      </c>
      <c r="AL364">
        <v>7.1180000000000003</v>
      </c>
      <c r="AM364">
        <v>7.1980000000000004</v>
      </c>
      <c r="AN364">
        <v>7.141</v>
      </c>
      <c r="AO364">
        <v>7.444</v>
      </c>
      <c r="AP364">
        <v>6.5940000000000003</v>
      </c>
      <c r="AQ364">
        <v>3.8490000000000002</v>
      </c>
      <c r="AR364">
        <v>4.7489999999999997</v>
      </c>
      <c r="AS364">
        <v>5.2830000000000004</v>
      </c>
      <c r="AT364">
        <v>5.9619999999999997</v>
      </c>
      <c r="AU364">
        <v>6.4560000000000004</v>
      </c>
      <c r="AV364">
        <v>6.9509999999999996</v>
      </c>
      <c r="AW364">
        <v>13.986000000000001</v>
      </c>
    </row>
    <row r="365" spans="1:49" x14ac:dyDescent="0.35">
      <c r="A365" t="s">
        <v>177</v>
      </c>
      <c r="B365" t="s">
        <v>37</v>
      </c>
      <c r="C365" t="s">
        <v>38</v>
      </c>
      <c r="D365" t="s">
        <v>31</v>
      </c>
      <c r="E365" t="s">
        <v>32</v>
      </c>
      <c r="F365" t="s">
        <v>178</v>
      </c>
      <c r="G365">
        <v>0.188</v>
      </c>
      <c r="H365">
        <v>0.14799999999999999</v>
      </c>
      <c r="I365">
        <v>0.16200000000000001</v>
      </c>
      <c r="J365">
        <v>0.154</v>
      </c>
      <c r="K365">
        <v>0.17</v>
      </c>
      <c r="L365">
        <v>0.22800000000000001</v>
      </c>
      <c r="M365">
        <v>0.251</v>
      </c>
      <c r="N365">
        <v>0.81100000000000005</v>
      </c>
      <c r="O365">
        <v>1.302</v>
      </c>
      <c r="P365">
        <v>2.0430000000000001</v>
      </c>
      <c r="Q365">
        <v>3.85</v>
      </c>
      <c r="R365">
        <v>4.6150000000000002</v>
      </c>
      <c r="S365">
        <v>5.7210000000000001</v>
      </c>
      <c r="T365">
        <v>9.2449999999999992</v>
      </c>
      <c r="U365">
        <v>14.845000000000001</v>
      </c>
      <c r="V365">
        <v>22.771000000000001</v>
      </c>
      <c r="W365">
        <v>39.162999999999997</v>
      </c>
      <c r="X365">
        <v>47.454999999999998</v>
      </c>
      <c r="Y365">
        <v>55.911999999999999</v>
      </c>
      <c r="Z365">
        <v>65.566999999999993</v>
      </c>
      <c r="AA365">
        <v>73.218000000000004</v>
      </c>
      <c r="AB365">
        <v>94.578000000000003</v>
      </c>
      <c r="AC365">
        <v>117.78100000000001</v>
      </c>
      <c r="AD365">
        <v>131.96199999999999</v>
      </c>
      <c r="AE365">
        <v>152.398</v>
      </c>
      <c r="AF365">
        <v>175.15</v>
      </c>
      <c r="AG365">
        <v>207.44800000000001</v>
      </c>
      <c r="AH365">
        <v>242.03800000000001</v>
      </c>
      <c r="AI365">
        <v>279.33100000000002</v>
      </c>
      <c r="AJ365">
        <v>300.27</v>
      </c>
      <c r="AK365">
        <v>344.839</v>
      </c>
      <c r="AL365">
        <v>381.69200000000001</v>
      </c>
      <c r="AM365">
        <v>433.12200000000001</v>
      </c>
      <c r="AN365">
        <v>482.233</v>
      </c>
      <c r="AO365">
        <v>531.77700000000004</v>
      </c>
      <c r="AP365">
        <v>591.67899999999997</v>
      </c>
      <c r="AQ365">
        <v>689.21299999999997</v>
      </c>
      <c r="AR365">
        <v>808.577</v>
      </c>
      <c r="AS365">
        <v>902.37199999999996</v>
      </c>
      <c r="AT365" s="27">
        <v>1009.72</v>
      </c>
      <c r="AU365" s="27">
        <v>1135.0999999999999</v>
      </c>
      <c r="AV365" s="27">
        <v>1281.99</v>
      </c>
      <c r="AW365" s="27">
        <v>1543.12</v>
      </c>
    </row>
    <row r="366" spans="1:49" x14ac:dyDescent="0.35">
      <c r="A366" t="s">
        <v>177</v>
      </c>
      <c r="B366" t="s">
        <v>37</v>
      </c>
      <c r="C366" t="s">
        <v>40</v>
      </c>
      <c r="D366" t="s">
        <v>41</v>
      </c>
      <c r="E366" t="s">
        <v>32</v>
      </c>
      <c r="F366" t="s">
        <v>42</v>
      </c>
      <c r="G366">
        <v>5.4009999999999998</v>
      </c>
      <c r="H366">
        <v>4.1950000000000003</v>
      </c>
      <c r="I366">
        <v>4.2850000000000001</v>
      </c>
      <c r="J366">
        <v>3.8380000000000001</v>
      </c>
      <c r="K366">
        <v>3.9980000000000002</v>
      </c>
      <c r="L366">
        <v>5.2850000000000001</v>
      </c>
      <c r="M366">
        <v>6.2030000000000003</v>
      </c>
      <c r="N366">
        <v>2.8029999999999999</v>
      </c>
      <c r="O366">
        <v>2.4630000000000001</v>
      </c>
      <c r="P366">
        <v>2.5739999999999998</v>
      </c>
      <c r="Q366">
        <v>4.13</v>
      </c>
      <c r="R366">
        <v>3.2170000000000001</v>
      </c>
      <c r="S366">
        <v>2.177</v>
      </c>
      <c r="T366">
        <v>2.2650000000000001</v>
      </c>
      <c r="U366">
        <v>2.4580000000000002</v>
      </c>
      <c r="V366">
        <v>2.524</v>
      </c>
      <c r="W366">
        <v>3.468</v>
      </c>
      <c r="X366">
        <v>4.1100000000000003</v>
      </c>
      <c r="Y366">
        <v>4.718</v>
      </c>
      <c r="Z366">
        <v>5.1669999999999998</v>
      </c>
      <c r="AA366">
        <v>4.6669999999999998</v>
      </c>
      <c r="AB366">
        <v>4.5670000000000002</v>
      </c>
      <c r="AC366">
        <v>4.9770000000000003</v>
      </c>
      <c r="AD366">
        <v>5.5490000000000004</v>
      </c>
      <c r="AE366">
        <v>6.7489999999999997</v>
      </c>
      <c r="AF366">
        <v>7.5949999999999998</v>
      </c>
      <c r="AG366">
        <v>8.3040000000000003</v>
      </c>
      <c r="AH366">
        <v>9.4659999999999993</v>
      </c>
      <c r="AI366">
        <v>11.555</v>
      </c>
      <c r="AJ366">
        <v>11.243</v>
      </c>
      <c r="AK366">
        <v>10.457000000000001</v>
      </c>
      <c r="AL366">
        <v>13.131</v>
      </c>
      <c r="AM366">
        <v>15.178000000000001</v>
      </c>
      <c r="AN366">
        <v>16.013000000000002</v>
      </c>
      <c r="AO366">
        <v>16.872</v>
      </c>
      <c r="AP366">
        <v>14.798</v>
      </c>
      <c r="AQ366">
        <v>11.272</v>
      </c>
      <c r="AR366">
        <v>12.345000000000001</v>
      </c>
      <c r="AS366">
        <v>14.756</v>
      </c>
      <c r="AT366">
        <v>15.929</v>
      </c>
      <c r="AU366">
        <v>17.292999999999999</v>
      </c>
      <c r="AV366">
        <v>18.846</v>
      </c>
      <c r="AW366">
        <v>21.891999999999999</v>
      </c>
    </row>
    <row r="367" spans="1:49" x14ac:dyDescent="0.35">
      <c r="A367" t="s">
        <v>177</v>
      </c>
      <c r="B367" t="s">
        <v>37</v>
      </c>
      <c r="C367" t="s">
        <v>43</v>
      </c>
      <c r="D367" t="s">
        <v>44</v>
      </c>
      <c r="E367" t="s">
        <v>32</v>
      </c>
      <c r="F367" t="s">
        <v>42</v>
      </c>
      <c r="G367">
        <v>2.089</v>
      </c>
      <c r="H367">
        <v>2.399</v>
      </c>
      <c r="I367">
        <v>2.3719999999999999</v>
      </c>
      <c r="J367">
        <v>2.0779999999999998</v>
      </c>
      <c r="K367">
        <v>2.012</v>
      </c>
      <c r="L367">
        <v>2.097</v>
      </c>
      <c r="M367">
        <v>2.09</v>
      </c>
      <c r="N367">
        <v>2.4590000000000001</v>
      </c>
      <c r="O367">
        <v>2.754</v>
      </c>
      <c r="P367">
        <v>3.0470000000000002</v>
      </c>
      <c r="Q367">
        <v>3.1909999999999998</v>
      </c>
      <c r="R367">
        <v>3.5129999999999999</v>
      </c>
      <c r="S367">
        <v>3.4049999999999998</v>
      </c>
      <c r="T367">
        <v>3.7919999999999998</v>
      </c>
      <c r="U367">
        <v>4.1109999999999998</v>
      </c>
      <c r="V367">
        <v>4.2910000000000004</v>
      </c>
      <c r="W367">
        <v>5.5419999999999998</v>
      </c>
      <c r="X367">
        <v>6.2480000000000002</v>
      </c>
      <c r="Y367">
        <v>7.0650000000000004</v>
      </c>
      <c r="Z367">
        <v>7.734</v>
      </c>
      <c r="AA367">
        <v>8.0429999999999993</v>
      </c>
      <c r="AB367">
        <v>9.2729999999999997</v>
      </c>
      <c r="AC367">
        <v>10.243</v>
      </c>
      <c r="AD367">
        <v>11.125999999999999</v>
      </c>
      <c r="AE367">
        <v>12.324999999999999</v>
      </c>
      <c r="AF367">
        <v>13.831</v>
      </c>
      <c r="AG367">
        <v>15.661</v>
      </c>
      <c r="AH367">
        <v>17.271000000000001</v>
      </c>
      <c r="AI367">
        <v>18.821000000000002</v>
      </c>
      <c r="AJ367">
        <v>20.167999999999999</v>
      </c>
      <c r="AK367">
        <v>21.78</v>
      </c>
      <c r="AL367">
        <v>23.812000000000001</v>
      </c>
      <c r="AM367">
        <v>25.995999999999999</v>
      </c>
      <c r="AN367">
        <v>28.302</v>
      </c>
      <c r="AO367">
        <v>30.954999999999998</v>
      </c>
      <c r="AP367">
        <v>33.353999999999999</v>
      </c>
      <c r="AQ367">
        <v>35.08</v>
      </c>
      <c r="AR367">
        <v>37.386000000000003</v>
      </c>
      <c r="AS367">
        <v>40.125</v>
      </c>
      <c r="AT367">
        <v>43.423999999999999</v>
      </c>
      <c r="AU367">
        <v>47.2</v>
      </c>
      <c r="AV367">
        <v>51.529000000000003</v>
      </c>
      <c r="AW367">
        <v>59.866999999999997</v>
      </c>
    </row>
    <row r="368" spans="1:49" x14ac:dyDescent="0.35">
      <c r="A368" t="s">
        <v>177</v>
      </c>
      <c r="B368" t="s">
        <v>45</v>
      </c>
      <c r="C368" t="s">
        <v>46</v>
      </c>
      <c r="D368" t="s">
        <v>47</v>
      </c>
      <c r="F368" t="s">
        <v>48</v>
      </c>
      <c r="G368">
        <v>0.26900000000000002</v>
      </c>
      <c r="H368">
        <v>0.20100000000000001</v>
      </c>
      <c r="I368">
        <v>0.23599999999999999</v>
      </c>
      <c r="J368">
        <v>0.26700000000000002</v>
      </c>
      <c r="K368">
        <v>0.314</v>
      </c>
      <c r="L368">
        <v>0.41799999999999998</v>
      </c>
      <c r="M368">
        <v>0.47099999999999997</v>
      </c>
      <c r="N368">
        <v>1.327</v>
      </c>
      <c r="O368">
        <v>1.968</v>
      </c>
      <c r="P368">
        <v>2.9009999999999998</v>
      </c>
      <c r="Q368">
        <v>5.4119999999999999</v>
      </c>
      <c r="R368">
        <v>6.0869999999999997</v>
      </c>
      <c r="S368">
        <v>7.9630000000000001</v>
      </c>
      <c r="T368">
        <v>11.831</v>
      </c>
      <c r="U368">
        <v>17.896000000000001</v>
      </c>
      <c r="V368">
        <v>26.85</v>
      </c>
      <c r="W368">
        <v>36.405000000000001</v>
      </c>
      <c r="X368">
        <v>39.798000000000002</v>
      </c>
      <c r="Y368">
        <v>41.918999999999997</v>
      </c>
      <c r="Z368">
        <v>45.591000000000001</v>
      </c>
      <c r="AA368">
        <v>50.07</v>
      </c>
      <c r="AB368">
        <v>57.378999999999998</v>
      </c>
      <c r="AC368">
        <v>65.679000000000002</v>
      </c>
      <c r="AD368">
        <v>69.096000000000004</v>
      </c>
      <c r="AE368">
        <v>74.015000000000001</v>
      </c>
      <c r="AF368">
        <v>78.242000000000004</v>
      </c>
      <c r="AG368">
        <v>84.358999999999995</v>
      </c>
      <c r="AH368">
        <v>91.620999999999995</v>
      </c>
      <c r="AI368">
        <v>98.935000000000002</v>
      </c>
      <c r="AJ368">
        <v>100</v>
      </c>
      <c r="AK368">
        <v>107.64400000000001</v>
      </c>
      <c r="AL368">
        <v>111.23099999999999</v>
      </c>
      <c r="AM368">
        <v>117.74299999999999</v>
      </c>
      <c r="AN368">
        <v>122.35599999999999</v>
      </c>
      <c r="AO368">
        <v>125.578</v>
      </c>
      <c r="AP368">
        <v>131.08099999999999</v>
      </c>
      <c r="AQ368">
        <v>147.029</v>
      </c>
      <c r="AR368">
        <v>164.673</v>
      </c>
      <c r="AS368">
        <v>174.553</v>
      </c>
      <c r="AT368">
        <v>184.328</v>
      </c>
      <c r="AU368">
        <v>194.65100000000001</v>
      </c>
      <c r="AV368">
        <v>205.55099999999999</v>
      </c>
      <c r="AW368">
        <v>217.06200000000001</v>
      </c>
    </row>
    <row r="369" spans="1:49" x14ac:dyDescent="0.35">
      <c r="A369" t="s">
        <v>177</v>
      </c>
      <c r="B369" t="s">
        <v>49</v>
      </c>
      <c r="C369" t="s">
        <v>50</v>
      </c>
      <c r="D369" t="s">
        <v>31</v>
      </c>
      <c r="E369" t="s">
        <v>26</v>
      </c>
      <c r="F369" t="s">
        <v>51</v>
      </c>
      <c r="G369" s="27">
        <v>5773.1</v>
      </c>
      <c r="H369" s="27">
        <v>5917.21</v>
      </c>
      <c r="I369" s="27">
        <v>5383.14</v>
      </c>
      <c r="J369" s="27">
        <v>4446.0200000000004</v>
      </c>
      <c r="K369" s="27">
        <v>4091.45</v>
      </c>
      <c r="L369" s="27">
        <v>4089.6</v>
      </c>
      <c r="M369" s="27">
        <v>3980.01</v>
      </c>
      <c r="N369" s="27">
        <v>4570.63</v>
      </c>
      <c r="O369" s="27">
        <v>4954.92</v>
      </c>
      <c r="P369" s="27">
        <v>5258.99</v>
      </c>
      <c r="Q369" s="27">
        <v>5243.74</v>
      </c>
      <c r="R369" s="27">
        <v>5456.35</v>
      </c>
      <c r="S369" s="27">
        <v>5006.2700000000004</v>
      </c>
      <c r="T369" s="27">
        <v>5246.74</v>
      </c>
      <c r="U369" s="27">
        <v>5367.95</v>
      </c>
      <c r="V369" s="27">
        <v>5306.7</v>
      </c>
      <c r="W369" s="27">
        <v>6534.28</v>
      </c>
      <c r="X369" s="27">
        <v>7049.53</v>
      </c>
      <c r="Y369" s="27">
        <v>7687.36</v>
      </c>
      <c r="Z369" s="27">
        <v>8080.4</v>
      </c>
      <c r="AA369" s="27">
        <v>8001.36</v>
      </c>
      <c r="AB369" s="27">
        <v>8774.2999999999993</v>
      </c>
      <c r="AC369" s="27">
        <v>9281.98</v>
      </c>
      <c r="AD369" s="27">
        <v>9610.02</v>
      </c>
      <c r="AE369" s="27">
        <v>10074.08</v>
      </c>
      <c r="AF369" s="27">
        <v>10654.66</v>
      </c>
      <c r="AG369" s="27">
        <v>11312.56</v>
      </c>
      <c r="AH369" s="27">
        <v>11814.67</v>
      </c>
      <c r="AI369" s="27">
        <v>12278.28</v>
      </c>
      <c r="AJ369" s="27">
        <v>12697.58</v>
      </c>
      <c r="AK369" s="27">
        <v>13171.53</v>
      </c>
      <c r="AL369" s="27">
        <v>13716.82</v>
      </c>
      <c r="AM369" s="27">
        <v>14295.05</v>
      </c>
      <c r="AN369" s="27">
        <v>14891.01</v>
      </c>
      <c r="AO369" s="27">
        <v>15559.15</v>
      </c>
      <c r="AP369" s="27">
        <v>16133.64</v>
      </c>
      <c r="AQ369" s="27">
        <v>16303.88</v>
      </c>
      <c r="AR369" s="27">
        <v>16623.39</v>
      </c>
      <c r="AS369" s="27">
        <v>17039.490000000002</v>
      </c>
      <c r="AT369" s="27">
        <v>17581.53</v>
      </c>
      <c r="AU369" s="27">
        <v>18227.37</v>
      </c>
      <c r="AV369" s="27">
        <v>18986.91</v>
      </c>
      <c r="AW369" s="27">
        <v>21081.68</v>
      </c>
    </row>
    <row r="370" spans="1:49" x14ac:dyDescent="0.35">
      <c r="A370" t="s">
        <v>177</v>
      </c>
      <c r="B370" t="s">
        <v>49</v>
      </c>
      <c r="C370" t="s">
        <v>52</v>
      </c>
      <c r="D370" t="s">
        <v>53</v>
      </c>
      <c r="E370" t="s">
        <v>26</v>
      </c>
      <c r="F370" t="s">
        <v>51</v>
      </c>
      <c r="G370">
        <v>400.60199999999998</v>
      </c>
      <c r="H370">
        <v>410.60199999999998</v>
      </c>
      <c r="I370">
        <v>373.54199999999997</v>
      </c>
      <c r="J370">
        <v>308.51400000000001</v>
      </c>
      <c r="K370">
        <v>283.91000000000003</v>
      </c>
      <c r="L370">
        <v>283.78199999999998</v>
      </c>
      <c r="M370">
        <v>276.178</v>
      </c>
      <c r="N370">
        <v>317.161</v>
      </c>
      <c r="O370">
        <v>343.82799999999997</v>
      </c>
      <c r="P370">
        <v>364.92700000000002</v>
      </c>
      <c r="Q370">
        <v>363.86900000000003</v>
      </c>
      <c r="R370">
        <v>378.62200000000001</v>
      </c>
      <c r="S370">
        <v>347.39100000000002</v>
      </c>
      <c r="T370">
        <v>364.077</v>
      </c>
      <c r="U370">
        <v>372.488</v>
      </c>
      <c r="V370">
        <v>368.238</v>
      </c>
      <c r="W370">
        <v>453.42099999999999</v>
      </c>
      <c r="X370">
        <v>489.17500000000001</v>
      </c>
      <c r="Y370">
        <v>533.43399999999997</v>
      </c>
      <c r="Z370">
        <v>560.70799999999997</v>
      </c>
      <c r="AA370">
        <v>555.22299999999996</v>
      </c>
      <c r="AB370">
        <v>608.85799999999995</v>
      </c>
      <c r="AC370">
        <v>644.08699999999999</v>
      </c>
      <c r="AD370">
        <v>666.85</v>
      </c>
      <c r="AE370">
        <v>699.05200000000002</v>
      </c>
      <c r="AF370">
        <v>739.33900000000006</v>
      </c>
      <c r="AG370">
        <v>784.99099999999999</v>
      </c>
      <c r="AH370">
        <v>819.83299999999997</v>
      </c>
      <c r="AI370">
        <v>852.00300000000004</v>
      </c>
      <c r="AJ370">
        <v>881.09900000000005</v>
      </c>
      <c r="AK370">
        <v>913.98699999999997</v>
      </c>
      <c r="AL370">
        <v>951.82500000000005</v>
      </c>
      <c r="AM370">
        <v>991.94899999999996</v>
      </c>
      <c r="AN370" s="27">
        <v>1033.3</v>
      </c>
      <c r="AO370" s="27">
        <v>1079.67</v>
      </c>
      <c r="AP370" s="27">
        <v>1119.53</v>
      </c>
      <c r="AQ370" s="27">
        <v>1131.3499999999999</v>
      </c>
      <c r="AR370" s="27">
        <v>1153.52</v>
      </c>
      <c r="AS370" s="27">
        <v>1182.3900000000001</v>
      </c>
      <c r="AT370" s="27">
        <v>1220</v>
      </c>
      <c r="AU370" s="27">
        <v>1264.82</v>
      </c>
      <c r="AV370" s="27">
        <v>1317.52</v>
      </c>
      <c r="AW370" s="27">
        <v>1462.88</v>
      </c>
    </row>
    <row r="371" spans="1:49" x14ac:dyDescent="0.35">
      <c r="A371" t="s">
        <v>177</v>
      </c>
      <c r="B371" t="s">
        <v>54</v>
      </c>
      <c r="C371" t="s">
        <v>55</v>
      </c>
      <c r="D371" t="s">
        <v>31</v>
      </c>
      <c r="E371" t="s">
        <v>26</v>
      </c>
      <c r="F371" t="s">
        <v>56</v>
      </c>
      <c r="G371">
        <v>15.523</v>
      </c>
      <c r="H371">
        <v>11.898999999999999</v>
      </c>
      <c r="I371">
        <v>12.715</v>
      </c>
      <c r="J371">
        <v>11.87</v>
      </c>
      <c r="K371">
        <v>12.853999999999999</v>
      </c>
      <c r="L371">
        <v>17.106999999999999</v>
      </c>
      <c r="M371">
        <v>18.765000000000001</v>
      </c>
      <c r="N371">
        <v>60.651000000000003</v>
      </c>
      <c r="O371">
        <v>97.525000000000006</v>
      </c>
      <c r="P371">
        <v>152.54900000000001</v>
      </c>
      <c r="Q371">
        <v>283.79000000000002</v>
      </c>
      <c r="R371">
        <v>332.14</v>
      </c>
      <c r="S371">
        <v>398.63600000000002</v>
      </c>
      <c r="T371">
        <v>620.73099999999999</v>
      </c>
      <c r="U371">
        <v>960.63099999999997</v>
      </c>
      <c r="V371" s="27">
        <v>1424.86</v>
      </c>
      <c r="W371" s="27">
        <v>2378.79</v>
      </c>
      <c r="X371" s="27">
        <v>2805.57</v>
      </c>
      <c r="Y371" s="27">
        <v>3222.48</v>
      </c>
      <c r="Z371" s="27">
        <v>3683.95</v>
      </c>
      <c r="AA371" s="27">
        <v>4006.3</v>
      </c>
      <c r="AB371" s="27">
        <v>5034.58</v>
      </c>
      <c r="AC371" s="27">
        <v>6096.34</v>
      </c>
      <c r="AD371" s="27">
        <v>6640.12</v>
      </c>
      <c r="AE371" s="27">
        <v>7456.32</v>
      </c>
      <c r="AF371" s="27">
        <v>8336.3700000000008</v>
      </c>
      <c r="AG371" s="27">
        <v>9543.17</v>
      </c>
      <c r="AH371" s="27">
        <v>10824.77</v>
      </c>
      <c r="AI371" s="27">
        <v>12147.52</v>
      </c>
      <c r="AJ371" s="27">
        <v>12697.58</v>
      </c>
      <c r="AK371" s="27">
        <v>14178.4</v>
      </c>
      <c r="AL371" s="27">
        <v>15257.33</v>
      </c>
      <c r="AM371" s="27">
        <v>16831.439999999999</v>
      </c>
      <c r="AN371" s="27">
        <v>18220.05</v>
      </c>
      <c r="AO371" s="27">
        <v>19538.939999999999</v>
      </c>
      <c r="AP371" s="27">
        <v>21148.1</v>
      </c>
      <c r="AQ371" s="27">
        <v>23971.49</v>
      </c>
      <c r="AR371" s="27">
        <v>27374.2</v>
      </c>
      <c r="AS371" s="27">
        <v>29742.98</v>
      </c>
      <c r="AT371" s="27">
        <v>32407.71</v>
      </c>
      <c r="AU371" s="27">
        <v>35479.68</v>
      </c>
      <c r="AV371" s="27">
        <v>39027.79</v>
      </c>
      <c r="AW371" s="27">
        <v>45760.29</v>
      </c>
    </row>
    <row r="372" spans="1:49" x14ac:dyDescent="0.35">
      <c r="A372" t="s">
        <v>177</v>
      </c>
      <c r="B372" t="s">
        <v>54</v>
      </c>
      <c r="C372" t="s">
        <v>57</v>
      </c>
      <c r="D372" t="s">
        <v>41</v>
      </c>
      <c r="E372" t="s">
        <v>26</v>
      </c>
      <c r="F372" t="s">
        <v>56</v>
      </c>
      <c r="G372">
        <v>444.79700000000003</v>
      </c>
      <c r="H372">
        <v>337.26400000000001</v>
      </c>
      <c r="I372">
        <v>336.63499999999999</v>
      </c>
      <c r="J372">
        <v>295.41800000000001</v>
      </c>
      <c r="K372">
        <v>302.875</v>
      </c>
      <c r="L372">
        <v>396.18700000000001</v>
      </c>
      <c r="M372">
        <v>463.21800000000002</v>
      </c>
      <c r="N372">
        <v>209.547</v>
      </c>
      <c r="O372">
        <v>184.50399999999999</v>
      </c>
      <c r="P372">
        <v>192.13</v>
      </c>
      <c r="Q372">
        <v>304.38499999999999</v>
      </c>
      <c r="R372">
        <v>231.54300000000001</v>
      </c>
      <c r="S372">
        <v>151.715</v>
      </c>
      <c r="T372">
        <v>152.10900000000001</v>
      </c>
      <c r="U372">
        <v>159.08199999999999</v>
      </c>
      <c r="V372">
        <v>157.934</v>
      </c>
      <c r="W372">
        <v>210.62799999999999</v>
      </c>
      <c r="X372">
        <v>242.999</v>
      </c>
      <c r="Y372">
        <v>271.93299999999999</v>
      </c>
      <c r="Z372">
        <v>290.31599999999997</v>
      </c>
      <c r="AA372">
        <v>255.35</v>
      </c>
      <c r="AB372">
        <v>243.13399999999999</v>
      </c>
      <c r="AC372">
        <v>257.60300000000001</v>
      </c>
      <c r="AD372">
        <v>279.20400000000001</v>
      </c>
      <c r="AE372">
        <v>330.19799999999998</v>
      </c>
      <c r="AF372">
        <v>361.49200000000002</v>
      </c>
      <c r="AG372">
        <v>382</v>
      </c>
      <c r="AH372">
        <v>423.36599999999999</v>
      </c>
      <c r="AI372">
        <v>502.5</v>
      </c>
      <c r="AJ372">
        <v>475.416</v>
      </c>
      <c r="AK372">
        <v>429.94799999999998</v>
      </c>
      <c r="AL372">
        <v>524.89099999999996</v>
      </c>
      <c r="AM372">
        <v>589.81799999999998</v>
      </c>
      <c r="AN372">
        <v>604.99900000000002</v>
      </c>
      <c r="AO372">
        <v>619.90700000000004</v>
      </c>
      <c r="AP372">
        <v>528.93399999999997</v>
      </c>
      <c r="AQ372">
        <v>392.05799999999999</v>
      </c>
      <c r="AR372">
        <v>417.92700000000002</v>
      </c>
      <c r="AS372">
        <v>486.36399999999998</v>
      </c>
      <c r="AT372">
        <v>511.26</v>
      </c>
      <c r="AU372">
        <v>540.53599999999994</v>
      </c>
      <c r="AV372">
        <v>573.73500000000001</v>
      </c>
      <c r="AW372">
        <v>649.20299999999997</v>
      </c>
    </row>
    <row r="373" spans="1:49" x14ac:dyDescent="0.35">
      <c r="A373" t="s">
        <v>177</v>
      </c>
      <c r="B373" t="s">
        <v>54</v>
      </c>
      <c r="C373" t="s">
        <v>58</v>
      </c>
      <c r="D373" t="s">
        <v>44</v>
      </c>
      <c r="E373" t="s">
        <v>26</v>
      </c>
      <c r="F373" t="s">
        <v>56</v>
      </c>
      <c r="G373">
        <v>172.07599999999999</v>
      </c>
      <c r="H373">
        <v>192.84</v>
      </c>
      <c r="I373">
        <v>186.32</v>
      </c>
      <c r="J373">
        <v>159.959</v>
      </c>
      <c r="K373">
        <v>152.42599999999999</v>
      </c>
      <c r="L373">
        <v>157.233</v>
      </c>
      <c r="M373">
        <v>156.10499999999999</v>
      </c>
      <c r="N373">
        <v>183.845</v>
      </c>
      <c r="O373">
        <v>206.28</v>
      </c>
      <c r="P373">
        <v>227.452</v>
      </c>
      <c r="Q373">
        <v>235.18100000000001</v>
      </c>
      <c r="R373">
        <v>252.86199999999999</v>
      </c>
      <c r="S373">
        <v>237.29300000000001</v>
      </c>
      <c r="T373">
        <v>254.607</v>
      </c>
      <c r="U373">
        <v>266.03300000000002</v>
      </c>
      <c r="V373">
        <v>268.48200000000003</v>
      </c>
      <c r="W373">
        <v>336.62299999999999</v>
      </c>
      <c r="X373">
        <v>369.38499999999999</v>
      </c>
      <c r="Y373">
        <v>407.17700000000002</v>
      </c>
      <c r="Z373">
        <v>434.54500000000002</v>
      </c>
      <c r="AA373">
        <v>440.08499999999998</v>
      </c>
      <c r="AB373">
        <v>493.59699999999998</v>
      </c>
      <c r="AC373">
        <v>530.17200000000003</v>
      </c>
      <c r="AD373">
        <v>559.85400000000004</v>
      </c>
      <c r="AE373">
        <v>603.02800000000002</v>
      </c>
      <c r="AF373">
        <v>658.30100000000004</v>
      </c>
      <c r="AG373">
        <v>720.42600000000004</v>
      </c>
      <c r="AH373">
        <v>772.423</v>
      </c>
      <c r="AI373">
        <v>818.48</v>
      </c>
      <c r="AJ373">
        <v>852.85799999999995</v>
      </c>
      <c r="AK373">
        <v>895.50099999999998</v>
      </c>
      <c r="AL373">
        <v>951.82500000000005</v>
      </c>
      <c r="AM373" s="27">
        <v>1010.22</v>
      </c>
      <c r="AN373" s="27">
        <v>1069.33</v>
      </c>
      <c r="AO373" s="27">
        <v>1137.3699999999999</v>
      </c>
      <c r="AP373" s="27">
        <v>1192.1500000000001</v>
      </c>
      <c r="AQ373" s="27">
        <v>1220.0999999999999</v>
      </c>
      <c r="AR373" s="27">
        <v>1265.68</v>
      </c>
      <c r="AS373" s="27">
        <v>1322.54</v>
      </c>
      <c r="AT373" s="27">
        <v>1393.73</v>
      </c>
      <c r="AU373" s="27">
        <v>1475.33</v>
      </c>
      <c r="AV373" s="27">
        <v>1568.72</v>
      </c>
      <c r="AW373" s="27">
        <v>1775.31</v>
      </c>
    </row>
    <row r="374" spans="1:49" x14ac:dyDescent="0.35">
      <c r="A374" t="s">
        <v>177</v>
      </c>
      <c r="B374" t="s">
        <v>59</v>
      </c>
      <c r="C374" t="s">
        <v>60</v>
      </c>
      <c r="D374" t="s">
        <v>61</v>
      </c>
    </row>
    <row r="375" spans="1:49" x14ac:dyDescent="0.35">
      <c r="A375" t="s">
        <v>177</v>
      </c>
      <c r="B375" t="s">
        <v>62</v>
      </c>
      <c r="C375" t="s">
        <v>63</v>
      </c>
      <c r="D375" t="s">
        <v>64</v>
      </c>
      <c r="F375" t="s">
        <v>42</v>
      </c>
      <c r="G375">
        <v>1.6E-2</v>
      </c>
      <c r="H375">
        <v>1.6E-2</v>
      </c>
      <c r="I375">
        <v>1.4999999999999999E-2</v>
      </c>
      <c r="J375">
        <v>1.2999999999999999E-2</v>
      </c>
      <c r="K375">
        <v>1.0999999999999999E-2</v>
      </c>
      <c r="L375">
        <v>1.0999999999999999E-2</v>
      </c>
      <c r="M375">
        <v>0.01</v>
      </c>
      <c r="N375">
        <v>1.0999999999999999E-2</v>
      </c>
      <c r="O375">
        <v>1.2E-2</v>
      </c>
      <c r="P375">
        <v>1.2E-2</v>
      </c>
      <c r="Q375">
        <v>1.2E-2</v>
      </c>
      <c r="R375">
        <v>1.2E-2</v>
      </c>
      <c r="S375">
        <v>0.01</v>
      </c>
      <c r="T375">
        <v>1.0999999999999999E-2</v>
      </c>
      <c r="U375">
        <v>1.0999999999999999E-2</v>
      </c>
      <c r="V375">
        <v>1.0999999999999999E-2</v>
      </c>
      <c r="W375">
        <v>1.4E-2</v>
      </c>
      <c r="X375">
        <v>1.4999999999999999E-2</v>
      </c>
      <c r="Y375">
        <v>1.6E-2</v>
      </c>
      <c r="Z375">
        <v>1.7000000000000001E-2</v>
      </c>
      <c r="AA375">
        <v>1.6E-2</v>
      </c>
      <c r="AB375">
        <v>1.7999999999999999E-2</v>
      </c>
      <c r="AC375">
        <v>1.9E-2</v>
      </c>
      <c r="AD375">
        <v>1.9E-2</v>
      </c>
      <c r="AE375">
        <v>0.02</v>
      </c>
      <c r="AF375">
        <v>0.02</v>
      </c>
      <c r="AG375">
        <v>2.1000000000000001E-2</v>
      </c>
      <c r="AH375">
        <v>2.1999999999999999E-2</v>
      </c>
      <c r="AI375">
        <v>2.3E-2</v>
      </c>
      <c r="AJ375">
        <v>2.4E-2</v>
      </c>
      <c r="AK375">
        <v>2.4E-2</v>
      </c>
      <c r="AL375">
        <v>2.5000000000000001E-2</v>
      </c>
      <c r="AM375">
        <v>2.5999999999999999E-2</v>
      </c>
      <c r="AN375">
        <v>2.7E-2</v>
      </c>
      <c r="AO375">
        <v>2.8000000000000001E-2</v>
      </c>
      <c r="AP375">
        <v>2.9000000000000001E-2</v>
      </c>
      <c r="AQ375">
        <v>2.9000000000000001E-2</v>
      </c>
      <c r="AR375">
        <v>0.03</v>
      </c>
      <c r="AS375">
        <v>0.03</v>
      </c>
      <c r="AT375">
        <v>3.1E-2</v>
      </c>
      <c r="AU375">
        <v>3.1E-2</v>
      </c>
      <c r="AV375">
        <v>3.2000000000000001E-2</v>
      </c>
      <c r="AW375">
        <v>3.5999999999999997E-2</v>
      </c>
    </row>
    <row r="376" spans="1:49" x14ac:dyDescent="0.35">
      <c r="A376" t="s">
        <v>177</v>
      </c>
      <c r="B376" t="s">
        <v>65</v>
      </c>
      <c r="C376" t="s">
        <v>66</v>
      </c>
      <c r="D376" t="s">
        <v>67</v>
      </c>
      <c r="F376" t="s">
        <v>42</v>
      </c>
      <c r="G376">
        <v>0.09</v>
      </c>
      <c r="H376">
        <v>6.2E-2</v>
      </c>
      <c r="I376">
        <v>6.8000000000000005E-2</v>
      </c>
      <c r="J376">
        <v>7.3999999999999996E-2</v>
      </c>
      <c r="K376">
        <v>8.4000000000000005E-2</v>
      </c>
      <c r="L376">
        <v>0.109</v>
      </c>
      <c r="M376">
        <v>0.12</v>
      </c>
      <c r="N376">
        <v>0.33</v>
      </c>
      <c r="O376">
        <v>0.47299999999999998</v>
      </c>
      <c r="P376">
        <v>0.67100000000000004</v>
      </c>
      <c r="Q376">
        <v>1.2070000000000001</v>
      </c>
      <c r="R376">
        <v>1.3140000000000001</v>
      </c>
      <c r="S376">
        <v>1.68</v>
      </c>
      <c r="T376">
        <v>2.4380000000000002</v>
      </c>
      <c r="U376">
        <v>3.6110000000000002</v>
      </c>
      <c r="V376">
        <v>5.3070000000000004</v>
      </c>
      <c r="W376">
        <v>7.0670000000000002</v>
      </c>
      <c r="X376">
        <v>7.5949999999999998</v>
      </c>
      <c r="Y376">
        <v>7.9139999999999997</v>
      </c>
      <c r="Z376">
        <v>8.4779999999999998</v>
      </c>
      <c r="AA376">
        <v>9.1029999999999998</v>
      </c>
      <c r="AB376">
        <v>10.199999999999999</v>
      </c>
      <c r="AC376">
        <v>11.499000000000001</v>
      </c>
      <c r="AD376">
        <v>11.86</v>
      </c>
      <c r="AE376">
        <v>12.365</v>
      </c>
      <c r="AF376">
        <v>12.663</v>
      </c>
      <c r="AG376">
        <v>13.247</v>
      </c>
      <c r="AH376">
        <v>14.013999999999999</v>
      </c>
      <c r="AI376">
        <v>14.842000000000001</v>
      </c>
      <c r="AJ376">
        <v>14.888</v>
      </c>
      <c r="AK376">
        <v>15.833</v>
      </c>
      <c r="AL376">
        <v>16.03</v>
      </c>
      <c r="AM376">
        <v>16.661000000000001</v>
      </c>
      <c r="AN376">
        <v>17.039000000000001</v>
      </c>
      <c r="AO376">
        <v>17.178999999999998</v>
      </c>
      <c r="AP376">
        <v>17.739000000000001</v>
      </c>
      <c r="AQ376">
        <v>19.646999999999998</v>
      </c>
      <c r="AR376">
        <v>21.628</v>
      </c>
      <c r="AS376">
        <v>22.489000000000001</v>
      </c>
      <c r="AT376">
        <v>23.251999999999999</v>
      </c>
      <c r="AU376">
        <v>24.048999999999999</v>
      </c>
      <c r="AV376">
        <v>24.879000000000001</v>
      </c>
      <c r="AW376">
        <v>25.776</v>
      </c>
    </row>
    <row r="377" spans="1:49" x14ac:dyDescent="0.35">
      <c r="A377" t="s">
        <v>177</v>
      </c>
      <c r="B377" t="s">
        <v>68</v>
      </c>
      <c r="C377" t="s">
        <v>69</v>
      </c>
      <c r="D377" t="s">
        <v>70</v>
      </c>
      <c r="F377" t="s">
        <v>178</v>
      </c>
      <c r="G377">
        <v>14.696</v>
      </c>
      <c r="H377">
        <v>29.800999999999998</v>
      </c>
      <c r="I377">
        <v>26.786999999999999</v>
      </c>
      <c r="J377">
        <v>21.363</v>
      </c>
      <c r="K377">
        <v>18.509</v>
      </c>
      <c r="L377">
        <v>13.648</v>
      </c>
      <c r="M377">
        <v>12.695</v>
      </c>
      <c r="N377">
        <v>30.044</v>
      </c>
      <c r="O377">
        <v>36.253</v>
      </c>
      <c r="P377">
        <v>35.225000000000001</v>
      </c>
      <c r="Q377">
        <v>37.204000000000001</v>
      </c>
      <c r="R377">
        <v>25.178000000000001</v>
      </c>
      <c r="S377">
        <v>28.315999999999999</v>
      </c>
      <c r="T377">
        <v>28.82</v>
      </c>
      <c r="U377">
        <v>24.812000000000001</v>
      </c>
      <c r="V377">
        <v>35.173999999999999</v>
      </c>
      <c r="W377">
        <v>22.204999999999998</v>
      </c>
      <c r="X377">
        <v>21.748999999999999</v>
      </c>
      <c r="Y377">
        <v>25.54</v>
      </c>
      <c r="Z377">
        <v>41.055</v>
      </c>
      <c r="AA377">
        <v>39.97</v>
      </c>
      <c r="AB377">
        <v>29.178000000000001</v>
      </c>
      <c r="AC377">
        <v>37.113999999999997</v>
      </c>
      <c r="AD377">
        <v>28.588000000000001</v>
      </c>
      <c r="AE377">
        <v>15.746</v>
      </c>
      <c r="AF377">
        <v>16.192</v>
      </c>
      <c r="AG377">
        <v>15.337999999999999</v>
      </c>
      <c r="AH377">
        <v>13.843</v>
      </c>
      <c r="AI377">
        <v>14.182</v>
      </c>
      <c r="AJ377">
        <v>14.64</v>
      </c>
      <c r="AK377">
        <v>18.295000000000002</v>
      </c>
      <c r="AL377">
        <v>25.667000000000002</v>
      </c>
      <c r="AM377">
        <v>47.381999999999998</v>
      </c>
      <c r="AN377">
        <v>54.469000000000001</v>
      </c>
      <c r="AO377">
        <v>55.363</v>
      </c>
      <c r="AP377">
        <v>45.326000000000001</v>
      </c>
      <c r="AQ377">
        <v>42.656999999999996</v>
      </c>
      <c r="AR377">
        <v>44.304000000000002</v>
      </c>
      <c r="AS377">
        <v>57.228999999999999</v>
      </c>
      <c r="AT377">
        <v>85.671000000000006</v>
      </c>
      <c r="AU377">
        <v>104.35599999999999</v>
      </c>
      <c r="AV377">
        <v>133.40299999999999</v>
      </c>
      <c r="AW377">
        <v>128.65899999999999</v>
      </c>
    </row>
    <row r="378" spans="1:49" x14ac:dyDescent="0.35">
      <c r="A378" t="s">
        <v>177</v>
      </c>
      <c r="B378" t="s">
        <v>71</v>
      </c>
      <c r="C378" t="s">
        <v>72</v>
      </c>
      <c r="D378" t="s">
        <v>70</v>
      </c>
      <c r="F378" t="s">
        <v>178</v>
      </c>
      <c r="G378">
        <v>7.657</v>
      </c>
      <c r="H378">
        <v>19.774999999999999</v>
      </c>
      <c r="I378">
        <v>14.762</v>
      </c>
      <c r="J378">
        <v>9.9890000000000008</v>
      </c>
      <c r="K378">
        <v>9.81</v>
      </c>
      <c r="L378">
        <v>7.3310000000000004</v>
      </c>
      <c r="M378">
        <v>5.2889999999999997</v>
      </c>
      <c r="N378">
        <v>13.616</v>
      </c>
      <c r="O378">
        <v>21.262</v>
      </c>
      <c r="P378">
        <v>17.099</v>
      </c>
      <c r="Q378">
        <v>26.951000000000001</v>
      </c>
      <c r="R378">
        <v>15.473000000000001</v>
      </c>
      <c r="S378">
        <v>16.77</v>
      </c>
      <c r="T378">
        <v>14.539</v>
      </c>
      <c r="U378">
        <v>11.601000000000001</v>
      </c>
      <c r="V378">
        <v>24.623000000000001</v>
      </c>
      <c r="W378">
        <v>14.115</v>
      </c>
      <c r="X378">
        <v>17.155999999999999</v>
      </c>
      <c r="Y378">
        <v>19.678000000000001</v>
      </c>
      <c r="Z378">
        <v>29.148</v>
      </c>
      <c r="AA378">
        <v>23.95</v>
      </c>
      <c r="AB378">
        <v>13.121</v>
      </c>
      <c r="AC378">
        <v>17.577000000000002</v>
      </c>
      <c r="AD378">
        <v>13.923999999999999</v>
      </c>
      <c r="AE378">
        <v>13.907999999999999</v>
      </c>
      <c r="AF378">
        <v>6.6509999999999998</v>
      </c>
      <c r="AG378">
        <v>12.919</v>
      </c>
      <c r="AH378">
        <v>8.3330000000000002</v>
      </c>
      <c r="AI378">
        <v>5.1420000000000003</v>
      </c>
      <c r="AJ378">
        <v>4.3730000000000002</v>
      </c>
      <c r="AK378">
        <v>8.0809999999999995</v>
      </c>
      <c r="AL378">
        <v>4.4409999999999998</v>
      </c>
      <c r="AM378">
        <v>14.9</v>
      </c>
      <c r="AN378">
        <v>11.531000000000001</v>
      </c>
      <c r="AO378">
        <v>17.207999999999998</v>
      </c>
      <c r="AP378">
        <v>4.9980000000000002</v>
      </c>
      <c r="AQ378">
        <v>5.5750000000000002</v>
      </c>
      <c r="AR378">
        <v>18.686</v>
      </c>
      <c r="AS378">
        <v>11.398999999999999</v>
      </c>
      <c r="AT378">
        <v>8.9559999999999995</v>
      </c>
      <c r="AU378">
        <v>9.8320000000000007</v>
      </c>
      <c r="AV378">
        <v>13.736000000000001</v>
      </c>
      <c r="AW378">
        <v>14.573</v>
      </c>
    </row>
    <row r="379" spans="1:49" x14ac:dyDescent="0.35">
      <c r="A379" t="s">
        <v>177</v>
      </c>
      <c r="B379" t="s">
        <v>73</v>
      </c>
      <c r="C379" t="s">
        <v>74</v>
      </c>
      <c r="D379" t="s">
        <v>47</v>
      </c>
      <c r="F379" t="s">
        <v>179</v>
      </c>
      <c r="G379">
        <v>0.14899999999999999</v>
      </c>
      <c r="H379">
        <v>0.156</v>
      </c>
      <c r="I379">
        <v>0.183</v>
      </c>
      <c r="J379">
        <v>0.23499999999999999</v>
      </c>
      <c r="K379">
        <v>0.30499999999999999</v>
      </c>
      <c r="L379">
        <v>0.4</v>
      </c>
      <c r="M379">
        <v>0.56100000000000005</v>
      </c>
      <c r="N379">
        <v>1.482</v>
      </c>
      <c r="O379">
        <v>2.35</v>
      </c>
      <c r="P379">
        <v>3.3380000000000001</v>
      </c>
      <c r="Q379">
        <v>4.798</v>
      </c>
      <c r="R379">
        <v>6.3940000000000001</v>
      </c>
      <c r="S379">
        <v>9.2759999999999998</v>
      </c>
      <c r="T379">
        <v>13.196</v>
      </c>
      <c r="U379">
        <v>21.524999999999999</v>
      </c>
      <c r="V379">
        <v>31.786000000000001</v>
      </c>
      <c r="W379">
        <v>47.198999999999998</v>
      </c>
      <c r="X379">
        <v>50.673000000000002</v>
      </c>
      <c r="Y379">
        <v>51.426000000000002</v>
      </c>
      <c r="Z379">
        <v>52.904000000000003</v>
      </c>
      <c r="AA379">
        <v>59.628999999999998</v>
      </c>
      <c r="AB379">
        <v>65.031999999999996</v>
      </c>
      <c r="AC379">
        <v>75.938000000000002</v>
      </c>
      <c r="AD379">
        <v>86.156000000000006</v>
      </c>
      <c r="AE379">
        <v>97.040999999999997</v>
      </c>
      <c r="AF379">
        <v>103.27800000000001</v>
      </c>
      <c r="AG379">
        <v>116.95699999999999</v>
      </c>
      <c r="AH379">
        <v>126.502</v>
      </c>
      <c r="AI379">
        <v>139.565</v>
      </c>
      <c r="AJ379">
        <v>144.107</v>
      </c>
      <c r="AK379">
        <v>162.40799999999999</v>
      </c>
      <c r="AL379">
        <v>179.21899999999999</v>
      </c>
      <c r="AM379">
        <v>182.96700000000001</v>
      </c>
      <c r="AN379">
        <v>190.666</v>
      </c>
      <c r="AO379">
        <v>195.02600000000001</v>
      </c>
      <c r="AP379">
        <v>199.691</v>
      </c>
      <c r="AQ379">
        <v>238.113</v>
      </c>
      <c r="AR379">
        <v>279.73599999999999</v>
      </c>
      <c r="AS379">
        <v>309.22500000000002</v>
      </c>
      <c r="AT379">
        <v>327.005</v>
      </c>
      <c r="AU379">
        <v>344.99</v>
      </c>
      <c r="AV379">
        <v>363.96499999999997</v>
      </c>
      <c r="AW379">
        <v>383.983</v>
      </c>
    </row>
    <row r="380" spans="1:49" x14ac:dyDescent="0.35">
      <c r="A380" t="s">
        <v>177</v>
      </c>
      <c r="B380" t="s">
        <v>73</v>
      </c>
      <c r="C380" t="s">
        <v>76</v>
      </c>
      <c r="D380" t="s">
        <v>35</v>
      </c>
      <c r="F380" t="s">
        <v>77</v>
      </c>
      <c r="G380">
        <v>2</v>
      </c>
      <c r="H380">
        <v>4.2</v>
      </c>
      <c r="I380">
        <v>17.695</v>
      </c>
      <c r="J380">
        <v>28.198</v>
      </c>
      <c r="K380">
        <v>30.044</v>
      </c>
      <c r="L380">
        <v>30.785</v>
      </c>
      <c r="M380">
        <v>40.491</v>
      </c>
      <c r="N380">
        <v>164.11500000000001</v>
      </c>
      <c r="O380">
        <v>58.506999999999998</v>
      </c>
      <c r="P380">
        <v>42.076000000000001</v>
      </c>
      <c r="Q380">
        <v>43.722999999999999</v>
      </c>
      <c r="R380">
        <v>33.258000000000003</v>
      </c>
      <c r="S380">
        <v>45.076000000000001</v>
      </c>
      <c r="T380">
        <v>42.255000000000003</v>
      </c>
      <c r="U380">
        <v>63.122999999999998</v>
      </c>
      <c r="V380">
        <v>47.667999999999999</v>
      </c>
      <c r="W380">
        <v>48.491</v>
      </c>
      <c r="X380">
        <v>7.36</v>
      </c>
      <c r="Y380">
        <v>1.4870000000000001</v>
      </c>
      <c r="Z380">
        <v>2.8740000000000001</v>
      </c>
      <c r="AA380">
        <v>12.712999999999999</v>
      </c>
      <c r="AB380">
        <v>9.0609999999999999</v>
      </c>
      <c r="AC380">
        <v>16.768999999999998</v>
      </c>
      <c r="AD380">
        <v>13.455</v>
      </c>
      <c r="AE380">
        <v>12.634</v>
      </c>
      <c r="AF380">
        <v>6.4279999999999999</v>
      </c>
      <c r="AG380">
        <v>13.244999999999999</v>
      </c>
      <c r="AH380">
        <v>8.1609999999999996</v>
      </c>
      <c r="AI380">
        <v>10.326000000000001</v>
      </c>
      <c r="AJ380">
        <v>3.2549999999999999</v>
      </c>
      <c r="AK380">
        <v>12.699</v>
      </c>
      <c r="AL380">
        <v>10.351000000000001</v>
      </c>
      <c r="AM380">
        <v>2.0910000000000002</v>
      </c>
      <c r="AN380">
        <v>4.2080000000000002</v>
      </c>
      <c r="AO380">
        <v>2.2869999999999999</v>
      </c>
      <c r="AP380">
        <v>2.3919999999999999</v>
      </c>
      <c r="AQ380">
        <v>19.241</v>
      </c>
      <c r="AR380">
        <v>17.48</v>
      </c>
      <c r="AS380">
        <v>10.542</v>
      </c>
      <c r="AT380">
        <v>5.75</v>
      </c>
      <c r="AU380">
        <v>5.5</v>
      </c>
      <c r="AV380">
        <v>5.5</v>
      </c>
      <c r="AW380">
        <v>5.5</v>
      </c>
    </row>
    <row r="381" spans="1:49" x14ac:dyDescent="0.35">
      <c r="A381" t="s">
        <v>177</v>
      </c>
      <c r="B381" t="s">
        <v>78</v>
      </c>
      <c r="C381" t="s">
        <v>79</v>
      </c>
      <c r="D381" t="s">
        <v>47</v>
      </c>
      <c r="F381" t="s">
        <v>179</v>
      </c>
      <c r="G381">
        <v>0.158</v>
      </c>
      <c r="H381">
        <v>0.17299999999999999</v>
      </c>
      <c r="I381">
        <v>0.21299999999999999</v>
      </c>
      <c r="J381">
        <v>0.27700000000000002</v>
      </c>
      <c r="K381">
        <v>0.35899999999999999</v>
      </c>
      <c r="L381">
        <v>0.48099999999999998</v>
      </c>
      <c r="M381">
        <v>0.68</v>
      </c>
      <c r="N381">
        <v>1.9390000000000001</v>
      </c>
      <c r="O381">
        <v>2.9340000000000002</v>
      </c>
      <c r="P381">
        <v>3.7669999999999999</v>
      </c>
      <c r="Q381">
        <v>5.5410000000000004</v>
      </c>
      <c r="R381">
        <v>7.4930000000000003</v>
      </c>
      <c r="S381">
        <v>11.576000000000001</v>
      </c>
      <c r="T381">
        <v>16.626999999999999</v>
      </c>
      <c r="U381">
        <v>26.032</v>
      </c>
      <c r="V381">
        <v>40.749000000000002</v>
      </c>
      <c r="W381">
        <v>48.631</v>
      </c>
      <c r="X381">
        <v>51.645000000000003</v>
      </c>
      <c r="Y381">
        <v>51.151000000000003</v>
      </c>
      <c r="Z381">
        <v>54.331000000000003</v>
      </c>
      <c r="AA381">
        <v>60.545000000000002</v>
      </c>
      <c r="AB381">
        <v>73.825000000000003</v>
      </c>
      <c r="AC381">
        <v>80.557000000000002</v>
      </c>
      <c r="AD381">
        <v>91.686999999999998</v>
      </c>
      <c r="AE381">
        <v>100</v>
      </c>
      <c r="AF381">
        <v>111.148</v>
      </c>
      <c r="AG381">
        <v>121.566</v>
      </c>
      <c r="AH381">
        <v>134.04400000000001</v>
      </c>
      <c r="AI381">
        <v>142.33000000000001</v>
      </c>
      <c r="AJ381">
        <v>148.333</v>
      </c>
      <c r="AK381">
        <v>172.983</v>
      </c>
      <c r="AL381">
        <v>182.42699999999999</v>
      </c>
      <c r="AM381">
        <v>186.40600000000001</v>
      </c>
      <c r="AN381">
        <v>191.92400000000001</v>
      </c>
      <c r="AO381">
        <v>194.035</v>
      </c>
      <c r="AP381">
        <v>215.571</v>
      </c>
      <c r="AQ381">
        <v>261.05599999999998</v>
      </c>
      <c r="AR381">
        <v>297.51900000000001</v>
      </c>
      <c r="AS381">
        <v>321.32100000000003</v>
      </c>
      <c r="AT381">
        <v>338.99400000000003</v>
      </c>
      <c r="AU381">
        <v>357.63799999999998</v>
      </c>
      <c r="AV381">
        <v>377.30799999999999</v>
      </c>
      <c r="AW381">
        <v>398.06</v>
      </c>
    </row>
    <row r="382" spans="1:49" x14ac:dyDescent="0.35">
      <c r="A382" t="s">
        <v>177</v>
      </c>
      <c r="B382" t="s">
        <v>78</v>
      </c>
      <c r="C382" t="s">
        <v>80</v>
      </c>
      <c r="D382" t="s">
        <v>35</v>
      </c>
      <c r="F382" t="s">
        <v>81</v>
      </c>
      <c r="G382" t="s">
        <v>82</v>
      </c>
      <c r="H382">
        <v>9.5210000000000008</v>
      </c>
      <c r="I382">
        <v>23.338999999999999</v>
      </c>
      <c r="J382">
        <v>29.701000000000001</v>
      </c>
      <c r="K382">
        <v>29.79</v>
      </c>
      <c r="L382">
        <v>33.893000000000001</v>
      </c>
      <c r="M382">
        <v>41.396999999999998</v>
      </c>
      <c r="N382">
        <v>185.32499999999999</v>
      </c>
      <c r="O382">
        <v>51.326999999999998</v>
      </c>
      <c r="P382">
        <v>28.38</v>
      </c>
      <c r="Q382">
        <v>47.098999999999997</v>
      </c>
      <c r="R382">
        <v>35.213999999999999</v>
      </c>
      <c r="S382">
        <v>54.5</v>
      </c>
      <c r="T382">
        <v>43.637999999999998</v>
      </c>
      <c r="U382">
        <v>56.558</v>
      </c>
      <c r="V382">
        <v>56.536999999999999</v>
      </c>
      <c r="W382">
        <v>19.343</v>
      </c>
      <c r="X382">
        <v>6.1970000000000001</v>
      </c>
      <c r="Y382">
        <v>-0.95599999999999996</v>
      </c>
      <c r="Z382">
        <v>6.2160000000000002</v>
      </c>
      <c r="AA382">
        <v>11.438000000000001</v>
      </c>
      <c r="AB382">
        <v>21.934999999999999</v>
      </c>
      <c r="AC382">
        <v>9.1189999999999998</v>
      </c>
      <c r="AD382">
        <v>13.815</v>
      </c>
      <c r="AE382">
        <v>9.0670000000000002</v>
      </c>
      <c r="AF382">
        <v>11.148</v>
      </c>
      <c r="AG382">
        <v>9.3740000000000006</v>
      </c>
      <c r="AH382">
        <v>10.263999999999999</v>
      </c>
      <c r="AI382">
        <v>6.181</v>
      </c>
      <c r="AJ382">
        <v>4.2169999999999996</v>
      </c>
      <c r="AK382">
        <v>16.617999999999999</v>
      </c>
      <c r="AL382">
        <v>5.46</v>
      </c>
      <c r="AM382">
        <v>2.181</v>
      </c>
      <c r="AN382">
        <v>2.96</v>
      </c>
      <c r="AO382">
        <v>1.1000000000000001</v>
      </c>
      <c r="AP382">
        <v>11.099</v>
      </c>
      <c r="AQ382">
        <v>21.1</v>
      </c>
      <c r="AR382">
        <v>13.968</v>
      </c>
      <c r="AS382">
        <v>8</v>
      </c>
      <c r="AT382">
        <v>5.5</v>
      </c>
      <c r="AU382">
        <v>5.5</v>
      </c>
      <c r="AV382">
        <v>5.5</v>
      </c>
      <c r="AW382">
        <v>5.5</v>
      </c>
    </row>
    <row r="383" spans="1:49" x14ac:dyDescent="0.35">
      <c r="A383" t="s">
        <v>177</v>
      </c>
      <c r="B383" t="s">
        <v>83</v>
      </c>
      <c r="D383" t="s">
        <v>64</v>
      </c>
    </row>
    <row r="384" spans="1:49" x14ac:dyDescent="0.35">
      <c r="A384" t="s">
        <v>177</v>
      </c>
      <c r="B384" t="s">
        <v>84</v>
      </c>
      <c r="C384" t="s">
        <v>85</v>
      </c>
      <c r="D384" t="s">
        <v>35</v>
      </c>
      <c r="F384" t="s">
        <v>180</v>
      </c>
      <c r="G384">
        <v>13.4</v>
      </c>
      <c r="H384">
        <v>3.4470000000000001</v>
      </c>
      <c r="I384">
        <v>10.811</v>
      </c>
      <c r="J384">
        <v>-21.696000000000002</v>
      </c>
      <c r="K384">
        <v>-14.864000000000001</v>
      </c>
      <c r="L384">
        <v>-14.9</v>
      </c>
      <c r="M384">
        <v>34.103000000000002</v>
      </c>
      <c r="N384">
        <v>6.6369999999999996</v>
      </c>
      <c r="O384">
        <v>4.7859999999999996</v>
      </c>
      <c r="P384">
        <v>4.6689999999999996</v>
      </c>
      <c r="Q384">
        <v>4.6680000000000001</v>
      </c>
      <c r="R384">
        <v>4.1260000000000003</v>
      </c>
      <c r="S384">
        <v>-3.1360000000000001</v>
      </c>
      <c r="T384">
        <v>14.545999999999999</v>
      </c>
      <c r="U384">
        <v>7.9329999999999998</v>
      </c>
      <c r="V384">
        <v>-27.65</v>
      </c>
      <c r="W384">
        <v>9.3490000000000002</v>
      </c>
      <c r="X384">
        <v>-0.14000000000000001</v>
      </c>
      <c r="Y384">
        <v>42.732999999999997</v>
      </c>
      <c r="Z384">
        <v>15.871</v>
      </c>
      <c r="AA384">
        <v>-9.0649999999999995</v>
      </c>
      <c r="AB384">
        <v>9.4659999999999993</v>
      </c>
      <c r="AC384">
        <v>31.009</v>
      </c>
      <c r="AD384">
        <v>2.589</v>
      </c>
      <c r="AE384">
        <v>-4.2939999999999996</v>
      </c>
      <c r="AF384">
        <v>10.444000000000001</v>
      </c>
      <c r="AG384">
        <v>6.2320000000000002</v>
      </c>
      <c r="AH384">
        <v>1.2250000000000001</v>
      </c>
      <c r="AI384">
        <v>13.532999999999999</v>
      </c>
      <c r="AJ384">
        <v>6.8250000000000002</v>
      </c>
      <c r="AK384">
        <v>-3.6760000000000002</v>
      </c>
      <c r="AL384">
        <v>46.258000000000003</v>
      </c>
      <c r="AM384">
        <v>62.802999999999997</v>
      </c>
      <c r="AN384">
        <v>8.1460000000000008</v>
      </c>
      <c r="AO384">
        <v>-2.9540000000000002</v>
      </c>
      <c r="AP384">
        <v>-2.633</v>
      </c>
      <c r="AQ384">
        <v>-19.431000000000001</v>
      </c>
      <c r="AR384">
        <v>-11.505000000000001</v>
      </c>
      <c r="AS384">
        <v>55.183999999999997</v>
      </c>
      <c r="AT384">
        <v>46.177999999999997</v>
      </c>
      <c r="AU384">
        <v>24.175000000000001</v>
      </c>
      <c r="AV384">
        <v>24.393000000000001</v>
      </c>
      <c r="AW384">
        <v>6.9610000000000003</v>
      </c>
    </row>
    <row r="385" spans="1:49" x14ac:dyDescent="0.35">
      <c r="A385" t="s">
        <v>177</v>
      </c>
      <c r="B385" t="s">
        <v>87</v>
      </c>
      <c r="C385" t="s">
        <v>88</v>
      </c>
      <c r="D385" t="s">
        <v>35</v>
      </c>
      <c r="F385" t="s">
        <v>180</v>
      </c>
      <c r="G385">
        <v>22.1</v>
      </c>
      <c r="H385">
        <v>1.7789999999999999</v>
      </c>
      <c r="I385">
        <v>11.217000000000001</v>
      </c>
      <c r="J385">
        <v>-23.347999999999999</v>
      </c>
      <c r="K385">
        <v>-14.085000000000001</v>
      </c>
      <c r="L385">
        <v>-19.045999999999999</v>
      </c>
      <c r="M385">
        <v>28.654</v>
      </c>
      <c r="N385">
        <v>7.5910000000000002</v>
      </c>
      <c r="O385">
        <v>6.0780000000000003</v>
      </c>
      <c r="P385">
        <v>6.2709999999999999</v>
      </c>
      <c r="Q385">
        <v>5.7370000000000001</v>
      </c>
      <c r="R385">
        <v>3.03</v>
      </c>
      <c r="S385">
        <v>-3.96</v>
      </c>
      <c r="T385">
        <v>14.9</v>
      </c>
      <c r="U385">
        <v>3.843</v>
      </c>
      <c r="V385">
        <v>-33.011000000000003</v>
      </c>
      <c r="W385">
        <v>4.2119999999999997</v>
      </c>
      <c r="X385">
        <v>1.407</v>
      </c>
      <c r="Y385">
        <v>18.628</v>
      </c>
      <c r="Z385">
        <v>45.49</v>
      </c>
      <c r="AA385">
        <v>-9.625</v>
      </c>
      <c r="AB385">
        <v>-3.6579999999999999</v>
      </c>
      <c r="AC385">
        <v>52.786999999999999</v>
      </c>
      <c r="AD385">
        <v>5.8250000000000002</v>
      </c>
      <c r="AE385">
        <v>0.23899999999999999</v>
      </c>
      <c r="AF385">
        <v>10.276</v>
      </c>
      <c r="AG385">
        <v>6.7480000000000002</v>
      </c>
      <c r="AH385">
        <v>-0.45800000000000002</v>
      </c>
      <c r="AI385">
        <v>17.099</v>
      </c>
      <c r="AJ385">
        <v>3.5339999999999998</v>
      </c>
      <c r="AK385">
        <v>-6.5670000000000002</v>
      </c>
      <c r="AL385">
        <v>38.658999999999999</v>
      </c>
      <c r="AM385">
        <v>47.259</v>
      </c>
      <c r="AN385">
        <v>18.753</v>
      </c>
      <c r="AO385">
        <v>-2.7290000000000001</v>
      </c>
      <c r="AP385">
        <v>-0.83299999999999996</v>
      </c>
      <c r="AQ385">
        <v>-33.314</v>
      </c>
      <c r="AR385">
        <v>6.3490000000000002</v>
      </c>
      <c r="AS385">
        <v>61.046999999999997</v>
      </c>
      <c r="AT385">
        <v>47.960999999999999</v>
      </c>
      <c r="AU385">
        <v>25.353000000000002</v>
      </c>
      <c r="AV385">
        <v>25.454999999999998</v>
      </c>
      <c r="AW385">
        <v>6.3920000000000003</v>
      </c>
    </row>
    <row r="386" spans="1:49" x14ac:dyDescent="0.35">
      <c r="A386" t="s">
        <v>177</v>
      </c>
      <c r="B386" t="s">
        <v>89</v>
      </c>
      <c r="C386" t="s">
        <v>90</v>
      </c>
      <c r="D386" t="s">
        <v>35</v>
      </c>
      <c r="F386" t="s">
        <v>180</v>
      </c>
      <c r="G386">
        <v>-11.3</v>
      </c>
      <c r="H386">
        <v>8.0640000000000001</v>
      </c>
      <c r="I386">
        <v>-7.2510000000000003</v>
      </c>
      <c r="J386">
        <v>-37.558999999999997</v>
      </c>
      <c r="K386">
        <v>-27.838000000000001</v>
      </c>
      <c r="L386">
        <v>-1.9490000000000001</v>
      </c>
      <c r="M386">
        <v>-4.5220000000000002</v>
      </c>
      <c r="N386">
        <v>7.641</v>
      </c>
      <c r="O386">
        <v>-10.504</v>
      </c>
      <c r="P386">
        <v>8.7170000000000005</v>
      </c>
      <c r="Q386">
        <v>24.507000000000001</v>
      </c>
      <c r="R386">
        <v>40.494</v>
      </c>
      <c r="S386">
        <v>0.111</v>
      </c>
      <c r="T386">
        <v>1.9370000000000001</v>
      </c>
      <c r="U386">
        <v>4.4059999999999997</v>
      </c>
      <c r="V386">
        <v>4.8769999999999998</v>
      </c>
      <c r="W386">
        <v>21.555</v>
      </c>
      <c r="X386">
        <v>2.4740000000000002</v>
      </c>
      <c r="Y386">
        <v>14.443</v>
      </c>
      <c r="Z386">
        <v>20.593</v>
      </c>
      <c r="AA386">
        <v>13.558</v>
      </c>
      <c r="AB386">
        <v>46.847000000000001</v>
      </c>
      <c r="AC386">
        <v>22.029</v>
      </c>
      <c r="AD386">
        <v>9.9269999999999996</v>
      </c>
      <c r="AE386">
        <v>13.585000000000001</v>
      </c>
      <c r="AF386">
        <v>8.5990000000000002</v>
      </c>
      <c r="AG386">
        <v>7.7279999999999998</v>
      </c>
      <c r="AH386">
        <v>-6.0780000000000003</v>
      </c>
      <c r="AI386">
        <v>10.365</v>
      </c>
      <c r="AJ386">
        <v>-3.2530000000000001</v>
      </c>
      <c r="AK386">
        <v>-24.675999999999998</v>
      </c>
      <c r="AL386">
        <v>20.957999999999998</v>
      </c>
      <c r="AM386">
        <v>44.814</v>
      </c>
      <c r="AN386">
        <v>5.7130000000000001</v>
      </c>
      <c r="AO386">
        <v>1.7450000000000001</v>
      </c>
      <c r="AP386">
        <v>2.032</v>
      </c>
      <c r="AQ386">
        <v>-4.7809999999999997</v>
      </c>
      <c r="AR386">
        <v>10.666</v>
      </c>
      <c r="AS386">
        <v>15.523</v>
      </c>
      <c r="AT386">
        <v>10.429</v>
      </c>
      <c r="AU386">
        <v>7.5979999999999999</v>
      </c>
      <c r="AV386">
        <v>7.9029999999999996</v>
      </c>
      <c r="AW386">
        <v>29.808</v>
      </c>
    </row>
    <row r="387" spans="1:49" x14ac:dyDescent="0.35">
      <c r="A387" t="s">
        <v>177</v>
      </c>
      <c r="B387" t="s">
        <v>91</v>
      </c>
      <c r="C387" t="s">
        <v>92</v>
      </c>
      <c r="D387" t="s">
        <v>35</v>
      </c>
      <c r="F387" t="s">
        <v>180</v>
      </c>
      <c r="G387">
        <v>-6.3</v>
      </c>
      <c r="H387">
        <v>9.1319999999999997</v>
      </c>
      <c r="I387">
        <v>-11.31</v>
      </c>
      <c r="J387">
        <v>-45.625</v>
      </c>
      <c r="K387">
        <v>-25.588000000000001</v>
      </c>
      <c r="L387">
        <v>-13.939</v>
      </c>
      <c r="M387">
        <v>-0.78100000000000003</v>
      </c>
      <c r="N387">
        <v>6.5</v>
      </c>
      <c r="O387">
        <v>-11.034000000000001</v>
      </c>
      <c r="P387">
        <v>3.8759999999999999</v>
      </c>
      <c r="Q387">
        <v>24.024999999999999</v>
      </c>
      <c r="R387">
        <v>34.713999999999999</v>
      </c>
      <c r="S387">
        <v>-12.32</v>
      </c>
      <c r="T387">
        <v>-3.508</v>
      </c>
      <c r="U387">
        <v>14.103</v>
      </c>
      <c r="V387">
        <v>-2.532</v>
      </c>
      <c r="W387">
        <v>34.347000000000001</v>
      </c>
      <c r="X387">
        <v>4.1580000000000004</v>
      </c>
      <c r="Y387">
        <v>19.832000000000001</v>
      </c>
      <c r="Z387">
        <v>19.344999999999999</v>
      </c>
      <c r="AA387">
        <v>22.324000000000002</v>
      </c>
      <c r="AB387">
        <v>105.261</v>
      </c>
      <c r="AC387">
        <v>16.526</v>
      </c>
      <c r="AD387">
        <v>20.818000000000001</v>
      </c>
      <c r="AE387">
        <v>25.355</v>
      </c>
      <c r="AF387">
        <v>6.2370000000000001</v>
      </c>
      <c r="AG387">
        <v>10.48</v>
      </c>
      <c r="AH387">
        <v>-7.9740000000000002</v>
      </c>
      <c r="AI387">
        <v>8.6210000000000004</v>
      </c>
      <c r="AJ387">
        <v>-8.9440000000000008</v>
      </c>
      <c r="AK387">
        <v>-12.412000000000001</v>
      </c>
      <c r="AL387">
        <v>19.614999999999998</v>
      </c>
      <c r="AM387">
        <v>34.232999999999997</v>
      </c>
      <c r="AN387">
        <v>10.18</v>
      </c>
      <c r="AO387">
        <v>-0.70299999999999996</v>
      </c>
      <c r="AP387">
        <v>-0.21099999999999999</v>
      </c>
      <c r="AQ387">
        <v>2.1659999999999999</v>
      </c>
      <c r="AR387">
        <v>8.23</v>
      </c>
      <c r="AS387">
        <v>13.282999999999999</v>
      </c>
      <c r="AT387">
        <v>11.037000000000001</v>
      </c>
      <c r="AU387">
        <v>7.5069999999999997</v>
      </c>
      <c r="AV387">
        <v>7.5030000000000001</v>
      </c>
      <c r="AW387">
        <v>33.262999999999998</v>
      </c>
    </row>
    <row r="388" spans="1:49" x14ac:dyDescent="0.35">
      <c r="A388" t="s">
        <v>177</v>
      </c>
      <c r="B388" t="s">
        <v>93</v>
      </c>
      <c r="C388" t="s">
        <v>94</v>
      </c>
      <c r="D388" t="s">
        <v>95</v>
      </c>
    </row>
    <row r="389" spans="1:49" x14ac:dyDescent="0.35">
      <c r="A389" t="s">
        <v>177</v>
      </c>
      <c r="B389" t="s">
        <v>96</v>
      </c>
      <c r="C389" t="s">
        <v>97</v>
      </c>
      <c r="D389" t="s">
        <v>98</v>
      </c>
      <c r="E389" t="s">
        <v>99</v>
      </c>
    </row>
    <row r="390" spans="1:49" x14ac:dyDescent="0.35">
      <c r="A390" t="s">
        <v>177</v>
      </c>
      <c r="B390" t="s">
        <v>100</v>
      </c>
      <c r="C390" t="s">
        <v>101</v>
      </c>
      <c r="D390" t="s">
        <v>98</v>
      </c>
      <c r="E390" t="s">
        <v>99</v>
      </c>
      <c r="F390" t="s">
        <v>181</v>
      </c>
      <c r="G390">
        <v>12.141999999999999</v>
      </c>
      <c r="H390">
        <v>12.439</v>
      </c>
      <c r="I390">
        <v>12.728999999999999</v>
      </c>
      <c r="J390">
        <v>12.993</v>
      </c>
      <c r="K390">
        <v>13.201000000000001</v>
      </c>
      <c r="L390">
        <v>13.339</v>
      </c>
      <c r="M390">
        <v>13.391</v>
      </c>
      <c r="N390">
        <v>13.375</v>
      </c>
      <c r="O390">
        <v>13.349</v>
      </c>
      <c r="P390">
        <v>13.395</v>
      </c>
      <c r="Q390">
        <v>13.568</v>
      </c>
      <c r="R390">
        <v>13.894</v>
      </c>
      <c r="S390">
        <v>14.35</v>
      </c>
      <c r="T390">
        <v>14.893000000000001</v>
      </c>
      <c r="U390">
        <v>15.452999999999999</v>
      </c>
      <c r="V390">
        <v>15.981999999999999</v>
      </c>
      <c r="W390">
        <v>16.463000000000001</v>
      </c>
      <c r="X390">
        <v>16.914999999999999</v>
      </c>
      <c r="Y390">
        <v>17.350999999999999</v>
      </c>
      <c r="Z390">
        <v>17.797999999999998</v>
      </c>
      <c r="AA390">
        <v>18.276</v>
      </c>
      <c r="AB390">
        <v>18.786000000000001</v>
      </c>
      <c r="AC390">
        <v>19.32</v>
      </c>
      <c r="AD390">
        <v>19.873000000000001</v>
      </c>
      <c r="AE390">
        <v>20.439</v>
      </c>
      <c r="AF390">
        <v>21.01</v>
      </c>
      <c r="AG390">
        <v>21.738</v>
      </c>
      <c r="AH390">
        <v>22.36</v>
      </c>
      <c r="AI390">
        <v>22.995000000000001</v>
      </c>
      <c r="AJ390">
        <v>23.648</v>
      </c>
      <c r="AK390">
        <v>24.321000000000002</v>
      </c>
      <c r="AL390">
        <v>25.016999999999999</v>
      </c>
      <c r="AM390">
        <v>25.733000000000001</v>
      </c>
      <c r="AN390">
        <v>26.466999999999999</v>
      </c>
      <c r="AO390">
        <v>27.216000000000001</v>
      </c>
      <c r="AP390">
        <v>27.978000000000002</v>
      </c>
      <c r="AQ390">
        <v>28.751000000000001</v>
      </c>
      <c r="AR390">
        <v>29.538</v>
      </c>
      <c r="AS390">
        <v>30.338999999999999</v>
      </c>
      <c r="AT390">
        <v>31.157</v>
      </c>
      <c r="AU390">
        <v>31.992999999999999</v>
      </c>
      <c r="AV390">
        <v>32.847999999999999</v>
      </c>
      <c r="AW390">
        <v>33.722000000000001</v>
      </c>
    </row>
    <row r="391" spans="1:49" x14ac:dyDescent="0.35">
      <c r="A391" t="s">
        <v>177</v>
      </c>
      <c r="B391" t="s">
        <v>103</v>
      </c>
      <c r="C391" t="s">
        <v>104</v>
      </c>
      <c r="D391" t="s">
        <v>31</v>
      </c>
      <c r="E391" t="s">
        <v>32</v>
      </c>
      <c r="F391" t="s">
        <v>182</v>
      </c>
      <c r="G391">
        <v>2.1000000000000001E-2</v>
      </c>
      <c r="H391">
        <v>2.1000000000000001E-2</v>
      </c>
      <c r="I391">
        <v>3.2000000000000001E-2</v>
      </c>
      <c r="J391">
        <v>2.5999999999999999E-2</v>
      </c>
      <c r="K391">
        <v>2.5000000000000001E-2</v>
      </c>
      <c r="L391">
        <v>2.1999999999999999E-2</v>
      </c>
      <c r="M391">
        <v>2.5999999999999999E-2</v>
      </c>
      <c r="N391">
        <v>0.108</v>
      </c>
      <c r="O391">
        <v>0.22900000000000001</v>
      </c>
      <c r="P391">
        <v>0.39800000000000002</v>
      </c>
      <c r="Q391">
        <v>0.54500000000000004</v>
      </c>
      <c r="R391">
        <v>0.84699999999999998</v>
      </c>
      <c r="S391">
        <v>1.353</v>
      </c>
      <c r="T391">
        <v>2.0249999999999999</v>
      </c>
      <c r="U391">
        <v>3.383</v>
      </c>
      <c r="V391">
        <v>4.5030000000000001</v>
      </c>
      <c r="W391">
        <v>5.8289999999999997</v>
      </c>
      <c r="X391">
        <v>8.2910000000000004</v>
      </c>
      <c r="Y391">
        <v>9.1419999999999995</v>
      </c>
      <c r="Z391">
        <v>12.281000000000001</v>
      </c>
      <c r="AA391">
        <v>14.39</v>
      </c>
      <c r="AB391">
        <v>19.106999999999999</v>
      </c>
      <c r="AC391">
        <v>21.491</v>
      </c>
      <c r="AD391">
        <v>25.007000000000001</v>
      </c>
      <c r="AE391">
        <v>26.167999999999999</v>
      </c>
      <c r="AF391">
        <v>30.524000000000001</v>
      </c>
      <c r="AG391">
        <v>41.320999999999998</v>
      </c>
      <c r="AH391">
        <v>52.326000000000001</v>
      </c>
      <c r="AI391">
        <v>60.902999999999999</v>
      </c>
      <c r="AJ391">
        <v>72.033000000000001</v>
      </c>
      <c r="AK391">
        <v>89.966999999999999</v>
      </c>
      <c r="AL391">
        <v>104.383</v>
      </c>
      <c r="AM391">
        <v>116.78700000000001</v>
      </c>
      <c r="AN391">
        <v>151.43199999999999</v>
      </c>
      <c r="AO391">
        <v>169.108</v>
      </c>
      <c r="AP391">
        <v>165.97900000000001</v>
      </c>
      <c r="AQ391">
        <v>180.06100000000001</v>
      </c>
      <c r="AR391">
        <v>199.471</v>
      </c>
      <c r="AS391">
        <v>235.149</v>
      </c>
      <c r="AT391">
        <v>264.54399999999998</v>
      </c>
      <c r="AU391">
        <v>297.25099999999998</v>
      </c>
      <c r="AV391">
        <v>331.904</v>
      </c>
      <c r="AW391">
        <v>398.90899999999999</v>
      </c>
    </row>
    <row r="392" spans="1:49" x14ac:dyDescent="0.35">
      <c r="A392" t="s">
        <v>177</v>
      </c>
      <c r="B392" t="s">
        <v>103</v>
      </c>
      <c r="C392" t="s">
        <v>104</v>
      </c>
      <c r="D392" t="s">
        <v>70</v>
      </c>
      <c r="F392" t="s">
        <v>106</v>
      </c>
      <c r="G392">
        <v>10.885</v>
      </c>
      <c r="H392">
        <v>14.016999999999999</v>
      </c>
      <c r="I392">
        <v>20.027000000000001</v>
      </c>
      <c r="J392">
        <v>16.721</v>
      </c>
      <c r="K392">
        <v>14.936</v>
      </c>
      <c r="L392">
        <v>9.7050000000000001</v>
      </c>
      <c r="M392">
        <v>10.363</v>
      </c>
      <c r="N392">
        <v>13.366</v>
      </c>
      <c r="O392">
        <v>17.582000000000001</v>
      </c>
      <c r="P392">
        <v>19.498000000000001</v>
      </c>
      <c r="Q392">
        <v>14.141</v>
      </c>
      <c r="R392">
        <v>18.363</v>
      </c>
      <c r="S392">
        <v>23.649000000000001</v>
      </c>
      <c r="T392">
        <v>21.9</v>
      </c>
      <c r="U392">
        <v>22.786999999999999</v>
      </c>
      <c r="V392">
        <v>19.776</v>
      </c>
      <c r="W392">
        <v>14.885</v>
      </c>
      <c r="X392">
        <v>17.471</v>
      </c>
      <c r="Y392">
        <v>16.350999999999999</v>
      </c>
      <c r="Z392">
        <v>18.73</v>
      </c>
      <c r="AA392">
        <v>19.652999999999999</v>
      </c>
      <c r="AB392">
        <v>20.202000000000002</v>
      </c>
      <c r="AC392">
        <v>18.245999999999999</v>
      </c>
      <c r="AD392">
        <v>18.95</v>
      </c>
      <c r="AE392">
        <v>17.170000000000002</v>
      </c>
      <c r="AF392">
        <v>17.427</v>
      </c>
      <c r="AG392">
        <v>19.919</v>
      </c>
      <c r="AH392">
        <v>21.619</v>
      </c>
      <c r="AI392">
        <v>21.803000000000001</v>
      </c>
      <c r="AJ392">
        <v>23.989000000000001</v>
      </c>
      <c r="AK392">
        <v>26.09</v>
      </c>
      <c r="AL392">
        <v>27.347000000000001</v>
      </c>
      <c r="AM392">
        <v>26.963999999999999</v>
      </c>
      <c r="AN392">
        <v>31.402000000000001</v>
      </c>
      <c r="AO392">
        <v>31.800999999999998</v>
      </c>
      <c r="AP392">
        <v>28.052</v>
      </c>
      <c r="AQ392">
        <v>26.126000000000001</v>
      </c>
      <c r="AR392">
        <v>24.669</v>
      </c>
      <c r="AS392">
        <v>26.059000000000001</v>
      </c>
      <c r="AT392">
        <v>26.2</v>
      </c>
      <c r="AU392">
        <v>26.187000000000001</v>
      </c>
      <c r="AV392">
        <v>25.89</v>
      </c>
      <c r="AW392">
        <v>25.850999999999999</v>
      </c>
    </row>
    <row r="393" spans="1:49" x14ac:dyDescent="0.35">
      <c r="A393" t="s">
        <v>177</v>
      </c>
      <c r="B393" t="s">
        <v>107</v>
      </c>
      <c r="C393" t="s">
        <v>108</v>
      </c>
      <c r="D393" t="s">
        <v>31</v>
      </c>
      <c r="E393" t="s">
        <v>32</v>
      </c>
      <c r="F393" t="s">
        <v>182</v>
      </c>
      <c r="G393">
        <v>2.3E-2</v>
      </c>
      <c r="H393">
        <v>0.03</v>
      </c>
      <c r="I393">
        <v>3.6999999999999998E-2</v>
      </c>
      <c r="J393">
        <v>4.7E-2</v>
      </c>
      <c r="K393">
        <v>4.4999999999999998E-2</v>
      </c>
      <c r="L393">
        <v>4.1000000000000002E-2</v>
      </c>
      <c r="M393">
        <v>5.1999999999999998E-2</v>
      </c>
      <c r="N393">
        <v>0.159</v>
      </c>
      <c r="O393">
        <v>0.30099999999999999</v>
      </c>
      <c r="P393">
        <v>0.47199999999999998</v>
      </c>
      <c r="Q393">
        <v>0.69</v>
      </c>
      <c r="R393">
        <v>0.95799999999999996</v>
      </c>
      <c r="S393">
        <v>1.4830000000000001</v>
      </c>
      <c r="T393">
        <v>2.3069999999999999</v>
      </c>
      <c r="U393">
        <v>4.0979999999999999</v>
      </c>
      <c r="V393">
        <v>5.1820000000000004</v>
      </c>
      <c r="W393">
        <v>6.7729999999999997</v>
      </c>
      <c r="X393">
        <v>9.3089999999999993</v>
      </c>
      <c r="Y393">
        <v>9.8510000000000009</v>
      </c>
      <c r="Z393">
        <v>12.532999999999999</v>
      </c>
      <c r="AA393">
        <v>15.526999999999999</v>
      </c>
      <c r="AB393">
        <v>24.294</v>
      </c>
      <c r="AC393">
        <v>26.231000000000002</v>
      </c>
      <c r="AD393">
        <v>29.134</v>
      </c>
      <c r="AE393">
        <v>31.844999999999999</v>
      </c>
      <c r="AF393">
        <v>34.734000000000002</v>
      </c>
      <c r="AG393">
        <v>48.649000000000001</v>
      </c>
      <c r="AH393">
        <v>58.447000000000003</v>
      </c>
      <c r="AI393">
        <v>66.852999999999994</v>
      </c>
      <c r="AJ393">
        <v>86.700999999999993</v>
      </c>
      <c r="AK393">
        <v>103.158</v>
      </c>
      <c r="AL393">
        <v>122.80800000000001</v>
      </c>
      <c r="AM393">
        <v>133.56299999999999</v>
      </c>
      <c r="AN393">
        <v>164.65899999999999</v>
      </c>
      <c r="AO393">
        <v>225.93100000000001</v>
      </c>
      <c r="AP393">
        <v>208.458</v>
      </c>
      <c r="AQ393">
        <v>219.16</v>
      </c>
      <c r="AR393">
        <v>258.87599999999998</v>
      </c>
      <c r="AS393">
        <v>297.96699999999998</v>
      </c>
      <c r="AT393">
        <v>319.89</v>
      </c>
      <c r="AU393">
        <v>348.77800000000002</v>
      </c>
      <c r="AV393">
        <v>375.005</v>
      </c>
      <c r="AW393">
        <v>441.56299999999999</v>
      </c>
    </row>
    <row r="394" spans="1:49" x14ac:dyDescent="0.35">
      <c r="A394" t="s">
        <v>177</v>
      </c>
      <c r="B394" t="s">
        <v>107</v>
      </c>
      <c r="C394" t="s">
        <v>108</v>
      </c>
      <c r="D394" t="s">
        <v>70</v>
      </c>
      <c r="F394" t="s">
        <v>109</v>
      </c>
      <c r="G394">
        <v>12.145</v>
      </c>
      <c r="H394">
        <v>20.350999999999999</v>
      </c>
      <c r="I394">
        <v>23.11</v>
      </c>
      <c r="J394">
        <v>30.196999999999999</v>
      </c>
      <c r="K394">
        <v>26.382000000000001</v>
      </c>
      <c r="L394">
        <v>17.984999999999999</v>
      </c>
      <c r="M394">
        <v>20.704999999999998</v>
      </c>
      <c r="N394">
        <v>19.553000000000001</v>
      </c>
      <c r="O394">
        <v>23.111999999999998</v>
      </c>
      <c r="P394">
        <v>23.114000000000001</v>
      </c>
      <c r="Q394">
        <v>17.914999999999999</v>
      </c>
      <c r="R394">
        <v>20.768999999999998</v>
      </c>
      <c r="S394">
        <v>25.927</v>
      </c>
      <c r="T394">
        <v>24.957000000000001</v>
      </c>
      <c r="U394">
        <v>27.602</v>
      </c>
      <c r="V394">
        <v>22.756</v>
      </c>
      <c r="W394">
        <v>17.294</v>
      </c>
      <c r="X394">
        <v>19.616</v>
      </c>
      <c r="Y394">
        <v>17.619</v>
      </c>
      <c r="Z394">
        <v>19.114000000000001</v>
      </c>
      <c r="AA394">
        <v>21.207000000000001</v>
      </c>
      <c r="AB394">
        <v>25.687000000000001</v>
      </c>
      <c r="AC394">
        <v>22.271000000000001</v>
      </c>
      <c r="AD394">
        <v>22.077000000000002</v>
      </c>
      <c r="AE394">
        <v>20.896000000000001</v>
      </c>
      <c r="AF394">
        <v>19.831</v>
      </c>
      <c r="AG394">
        <v>23.451000000000001</v>
      </c>
      <c r="AH394">
        <v>24.148</v>
      </c>
      <c r="AI394">
        <v>23.933</v>
      </c>
      <c r="AJ394">
        <v>28.873999999999999</v>
      </c>
      <c r="AK394">
        <v>29.914999999999999</v>
      </c>
      <c r="AL394">
        <v>32.174999999999997</v>
      </c>
      <c r="AM394">
        <v>30.837</v>
      </c>
      <c r="AN394">
        <v>34.145000000000003</v>
      </c>
      <c r="AO394">
        <v>42.485999999999997</v>
      </c>
      <c r="AP394">
        <v>35.231999999999999</v>
      </c>
      <c r="AQ394">
        <v>31.798999999999999</v>
      </c>
      <c r="AR394">
        <v>32.015999999999998</v>
      </c>
      <c r="AS394">
        <v>33.020000000000003</v>
      </c>
      <c r="AT394">
        <v>31.681000000000001</v>
      </c>
      <c r="AU394">
        <v>30.727</v>
      </c>
      <c r="AV394">
        <v>29.251999999999999</v>
      </c>
      <c r="AW394">
        <v>28.614999999999998</v>
      </c>
    </row>
    <row r="395" spans="1:49" x14ac:dyDescent="0.35">
      <c r="A395" t="s">
        <v>177</v>
      </c>
      <c r="B395" t="s">
        <v>110</v>
      </c>
      <c r="C395" t="s">
        <v>111</v>
      </c>
      <c r="D395" t="s">
        <v>31</v>
      </c>
      <c r="E395" t="s">
        <v>32</v>
      </c>
      <c r="F395" t="s">
        <v>182</v>
      </c>
      <c r="G395">
        <v>-2E-3</v>
      </c>
      <c r="H395">
        <v>-8.9999999999999993E-3</v>
      </c>
      <c r="I395">
        <v>-5.0000000000000001E-3</v>
      </c>
      <c r="J395">
        <v>-2.1000000000000001E-2</v>
      </c>
      <c r="K395">
        <v>-1.9E-2</v>
      </c>
      <c r="L395">
        <v>-1.9E-2</v>
      </c>
      <c r="M395">
        <v>-2.5999999999999999E-2</v>
      </c>
      <c r="N395">
        <v>-0.05</v>
      </c>
      <c r="O395">
        <v>-7.1999999999999995E-2</v>
      </c>
      <c r="P395">
        <v>-7.3999999999999996E-2</v>
      </c>
      <c r="Q395">
        <v>-0.14499999999999999</v>
      </c>
      <c r="R395">
        <v>-0.111</v>
      </c>
      <c r="S395">
        <v>-0.13</v>
      </c>
      <c r="T395">
        <v>-0.28299999999999997</v>
      </c>
      <c r="U395">
        <v>-0.71499999999999997</v>
      </c>
      <c r="V395">
        <v>-0.67900000000000005</v>
      </c>
      <c r="W395">
        <v>-0.94399999999999995</v>
      </c>
      <c r="X395">
        <v>-1.018</v>
      </c>
      <c r="Y395">
        <v>-0.70899999999999996</v>
      </c>
      <c r="Z395">
        <v>-0.252</v>
      </c>
      <c r="AA395">
        <v>-1.1379999999999999</v>
      </c>
      <c r="AB395">
        <v>-5.1870000000000003</v>
      </c>
      <c r="AC395">
        <v>-4.7409999999999997</v>
      </c>
      <c r="AD395">
        <v>-4.1260000000000003</v>
      </c>
      <c r="AE395">
        <v>-5.6779999999999999</v>
      </c>
      <c r="AF395">
        <v>-4.21</v>
      </c>
      <c r="AG395">
        <v>-7.3280000000000003</v>
      </c>
      <c r="AH395">
        <v>-6.1210000000000004</v>
      </c>
      <c r="AI395">
        <v>-5.95</v>
      </c>
      <c r="AJ395">
        <v>-14.667999999999999</v>
      </c>
      <c r="AK395">
        <v>-13.191000000000001</v>
      </c>
      <c r="AL395">
        <v>-18.425000000000001</v>
      </c>
      <c r="AM395">
        <v>-16.776</v>
      </c>
      <c r="AN395">
        <v>-13.226000000000001</v>
      </c>
      <c r="AO395">
        <v>-56.822000000000003</v>
      </c>
      <c r="AP395">
        <v>-42.478999999999999</v>
      </c>
      <c r="AQ395">
        <v>-39.098999999999997</v>
      </c>
      <c r="AR395">
        <v>-59.405000000000001</v>
      </c>
      <c r="AS395">
        <v>-62.817999999999998</v>
      </c>
      <c r="AT395">
        <v>-55.345999999999997</v>
      </c>
      <c r="AU395">
        <v>-51.527000000000001</v>
      </c>
      <c r="AV395">
        <v>-43.101999999999997</v>
      </c>
      <c r="AW395">
        <v>-42.654000000000003</v>
      </c>
    </row>
    <row r="396" spans="1:49" x14ac:dyDescent="0.35">
      <c r="A396" t="s">
        <v>177</v>
      </c>
      <c r="B396" t="s">
        <v>110</v>
      </c>
      <c r="C396" t="s">
        <v>111</v>
      </c>
      <c r="D396" t="s">
        <v>70</v>
      </c>
      <c r="F396" t="s">
        <v>112</v>
      </c>
      <c r="G396">
        <v>-1.26</v>
      </c>
      <c r="H396">
        <v>-6.3339999999999996</v>
      </c>
      <c r="I396">
        <v>-3.0840000000000001</v>
      </c>
      <c r="J396">
        <v>-13.476000000000001</v>
      </c>
      <c r="K396">
        <v>-11.446</v>
      </c>
      <c r="L396">
        <v>-8.2799999999999994</v>
      </c>
      <c r="M396">
        <v>-10.343</v>
      </c>
      <c r="N396">
        <v>-6.1870000000000003</v>
      </c>
      <c r="O396">
        <v>-5.5309999999999997</v>
      </c>
      <c r="P396">
        <v>-3.617</v>
      </c>
      <c r="Q396">
        <v>-3.774</v>
      </c>
      <c r="R396">
        <v>-2.4049999999999998</v>
      </c>
      <c r="S396">
        <v>-2.278</v>
      </c>
      <c r="T396">
        <v>-3.0569999999999999</v>
      </c>
      <c r="U396">
        <v>-4.8150000000000004</v>
      </c>
      <c r="V396">
        <v>-2.9809999999999999</v>
      </c>
      <c r="W396">
        <v>-2.4089999999999998</v>
      </c>
      <c r="X396">
        <v>-2.1440000000000001</v>
      </c>
      <c r="Y396">
        <v>-1.2669999999999999</v>
      </c>
      <c r="Z396">
        <v>-0.38400000000000001</v>
      </c>
      <c r="AA396">
        <v>-1.554</v>
      </c>
      <c r="AB396">
        <v>-5.4850000000000003</v>
      </c>
      <c r="AC396">
        <v>-4.0250000000000004</v>
      </c>
      <c r="AD396">
        <v>-3.1269999999999998</v>
      </c>
      <c r="AE396">
        <v>-3.726</v>
      </c>
      <c r="AF396">
        <v>-2.4039999999999999</v>
      </c>
      <c r="AG396">
        <v>-3.532</v>
      </c>
      <c r="AH396">
        <v>-2.5289999999999999</v>
      </c>
      <c r="AI396">
        <v>-2.13</v>
      </c>
      <c r="AJ396">
        <v>-4.8849999999999998</v>
      </c>
      <c r="AK396">
        <v>-3.8250000000000002</v>
      </c>
      <c r="AL396">
        <v>-4.827</v>
      </c>
      <c r="AM396">
        <v>-3.8730000000000002</v>
      </c>
      <c r="AN396">
        <v>-2.7429999999999999</v>
      </c>
      <c r="AO396">
        <v>-10.685</v>
      </c>
      <c r="AP396">
        <v>-7.1790000000000003</v>
      </c>
      <c r="AQ396">
        <v>-5.673</v>
      </c>
      <c r="AR396">
        <v>-7.3470000000000004</v>
      </c>
      <c r="AS396">
        <v>-6.9610000000000003</v>
      </c>
      <c r="AT396">
        <v>-5.4809999999999999</v>
      </c>
      <c r="AU396">
        <v>-4.5389999999999997</v>
      </c>
      <c r="AV396">
        <v>-3.3620000000000001</v>
      </c>
      <c r="AW396">
        <v>-2.7639999999999998</v>
      </c>
    </row>
    <row r="397" spans="1:49" x14ac:dyDescent="0.35">
      <c r="A397" t="s">
        <v>177</v>
      </c>
      <c r="B397" t="s">
        <v>113</v>
      </c>
      <c r="C397" t="s">
        <v>114</v>
      </c>
      <c r="D397" t="s">
        <v>31</v>
      </c>
      <c r="E397" t="s">
        <v>32</v>
      </c>
    </row>
    <row r="398" spans="1:49" x14ac:dyDescent="0.35">
      <c r="A398" t="s">
        <v>177</v>
      </c>
      <c r="B398" t="s">
        <v>113</v>
      </c>
      <c r="C398" t="s">
        <v>114</v>
      </c>
      <c r="D398" t="s">
        <v>61</v>
      </c>
    </row>
    <row r="399" spans="1:49" x14ac:dyDescent="0.35">
      <c r="A399" t="s">
        <v>177</v>
      </c>
      <c r="B399" t="s">
        <v>115</v>
      </c>
      <c r="C399" t="s">
        <v>116</v>
      </c>
      <c r="D399" t="s">
        <v>31</v>
      </c>
      <c r="E399" t="s">
        <v>32</v>
      </c>
      <c r="F399" t="s">
        <v>182</v>
      </c>
      <c r="G399">
        <v>-2E-3</v>
      </c>
      <c r="H399">
        <v>-8.9999999999999993E-3</v>
      </c>
      <c r="I399">
        <v>-5.0000000000000001E-3</v>
      </c>
      <c r="J399">
        <v>-2.1000000000000001E-2</v>
      </c>
      <c r="K399">
        <v>-1.9E-2</v>
      </c>
      <c r="L399">
        <v>-1.9E-2</v>
      </c>
      <c r="M399">
        <v>-2.5000000000000001E-2</v>
      </c>
      <c r="N399">
        <v>-4.2000000000000003E-2</v>
      </c>
      <c r="O399">
        <v>-5.7000000000000002E-2</v>
      </c>
      <c r="P399">
        <v>-4.2999999999999997E-2</v>
      </c>
      <c r="Q399">
        <v>-0.10100000000000001</v>
      </c>
      <c r="R399">
        <v>-6.5000000000000002E-2</v>
      </c>
      <c r="S399">
        <v>-1.7000000000000001E-2</v>
      </c>
      <c r="T399">
        <v>-8.4000000000000005E-2</v>
      </c>
      <c r="U399">
        <v>-0.56399999999999995</v>
      </c>
      <c r="V399">
        <v>-0.33500000000000002</v>
      </c>
      <c r="W399">
        <v>-0.47099999999999997</v>
      </c>
      <c r="X399">
        <v>-0.48799999999999999</v>
      </c>
      <c r="Y399">
        <v>-0.246</v>
      </c>
      <c r="Z399">
        <v>7.1999999999999995E-2</v>
      </c>
      <c r="AA399">
        <v>-1.028</v>
      </c>
      <c r="AB399">
        <v>-4.71</v>
      </c>
      <c r="AC399">
        <v>-3.4670000000000001</v>
      </c>
      <c r="AD399">
        <v>-2.8079999999999998</v>
      </c>
      <c r="AE399">
        <v>-4.3570000000000002</v>
      </c>
      <c r="AF399">
        <v>-2.9620000000000002</v>
      </c>
      <c r="AG399">
        <v>-5.9480000000000004</v>
      </c>
      <c r="AH399">
        <v>-4.8449999999999998</v>
      </c>
      <c r="AI399">
        <v>-4.6920000000000002</v>
      </c>
      <c r="AJ399">
        <v>-13.305999999999999</v>
      </c>
      <c r="AK399">
        <v>-10.518000000000001</v>
      </c>
      <c r="AL399">
        <v>-14.843</v>
      </c>
      <c r="AM399">
        <v>-12.65</v>
      </c>
      <c r="AN399">
        <v>-9.25</v>
      </c>
      <c r="AO399">
        <v>-51.271999999999998</v>
      </c>
      <c r="AP399">
        <v>-34.856999999999999</v>
      </c>
      <c r="AQ399">
        <v>-22.79</v>
      </c>
      <c r="AR399">
        <v>-25.094999999999999</v>
      </c>
      <c r="AS399">
        <v>-14.712</v>
      </c>
      <c r="AT399">
        <v>-6.3170000000000002</v>
      </c>
      <c r="AU399">
        <v>-3.6859999999999999</v>
      </c>
      <c r="AV399">
        <v>4.1000000000000002E-2</v>
      </c>
      <c r="AW399">
        <v>1.0529999999999999</v>
      </c>
    </row>
    <row r="400" spans="1:49" x14ac:dyDescent="0.35">
      <c r="A400" t="s">
        <v>177</v>
      </c>
      <c r="B400" t="s">
        <v>115</v>
      </c>
      <c r="C400" t="s">
        <v>116</v>
      </c>
      <c r="D400" t="s">
        <v>70</v>
      </c>
      <c r="F400" t="s">
        <v>117</v>
      </c>
      <c r="G400">
        <v>-1.2549999999999999</v>
      </c>
      <c r="H400">
        <v>-6.327</v>
      </c>
      <c r="I400">
        <v>-3.0760000000000001</v>
      </c>
      <c r="J400">
        <v>-13.441000000000001</v>
      </c>
      <c r="K400">
        <v>-11.412000000000001</v>
      </c>
      <c r="L400">
        <v>-8.2379999999999995</v>
      </c>
      <c r="M400">
        <v>-10.023</v>
      </c>
      <c r="N400">
        <v>-5.1660000000000004</v>
      </c>
      <c r="O400">
        <v>-4.3490000000000002</v>
      </c>
      <c r="P400">
        <v>-2.1139999999999999</v>
      </c>
      <c r="Q400">
        <v>-2.613</v>
      </c>
      <c r="R400">
        <v>-1.409</v>
      </c>
      <c r="S400">
        <v>-0.29599999999999999</v>
      </c>
      <c r="T400">
        <v>-0.90900000000000003</v>
      </c>
      <c r="U400">
        <v>-3.8010000000000002</v>
      </c>
      <c r="V400">
        <v>-1.47</v>
      </c>
      <c r="W400">
        <v>-1.202</v>
      </c>
      <c r="X400">
        <v>-1.028</v>
      </c>
      <c r="Y400">
        <v>-0.439</v>
      </c>
      <c r="Z400">
        <v>0.11</v>
      </c>
      <c r="AA400">
        <v>-1.4039999999999999</v>
      </c>
      <c r="AB400">
        <v>-4.9800000000000004</v>
      </c>
      <c r="AC400">
        <v>-2.9430000000000001</v>
      </c>
      <c r="AD400">
        <v>-2.1280000000000001</v>
      </c>
      <c r="AE400">
        <v>-2.859</v>
      </c>
      <c r="AF400">
        <v>-1.6910000000000001</v>
      </c>
      <c r="AG400">
        <v>-2.867</v>
      </c>
      <c r="AH400">
        <v>-2.0019999999999998</v>
      </c>
      <c r="AI400">
        <v>-1.68</v>
      </c>
      <c r="AJ400">
        <v>-4.431</v>
      </c>
      <c r="AK400">
        <v>-3.05</v>
      </c>
      <c r="AL400">
        <v>-3.8889999999999998</v>
      </c>
      <c r="AM400">
        <v>-2.9209999999999998</v>
      </c>
      <c r="AN400">
        <v>-1.9179999999999999</v>
      </c>
      <c r="AO400">
        <v>-9.6419999999999995</v>
      </c>
      <c r="AP400">
        <v>-5.891</v>
      </c>
      <c r="AQ400">
        <v>-3.3069999999999999</v>
      </c>
      <c r="AR400">
        <v>-3.1040000000000001</v>
      </c>
      <c r="AS400">
        <v>-1.63</v>
      </c>
      <c r="AT400">
        <v>-0.626</v>
      </c>
      <c r="AU400">
        <v>-0.32500000000000001</v>
      </c>
      <c r="AV400">
        <v>3.0000000000000001E-3</v>
      </c>
      <c r="AW400">
        <v>6.8000000000000005E-2</v>
      </c>
    </row>
    <row r="401" spans="1:49" x14ac:dyDescent="0.35">
      <c r="A401" t="s">
        <v>177</v>
      </c>
      <c r="B401" t="s">
        <v>118</v>
      </c>
      <c r="C401" t="s">
        <v>119</v>
      </c>
      <c r="D401" t="s">
        <v>31</v>
      </c>
      <c r="E401" t="s">
        <v>32</v>
      </c>
    </row>
    <row r="402" spans="1:49" x14ac:dyDescent="0.35">
      <c r="A402" t="s">
        <v>177</v>
      </c>
      <c r="B402" t="s">
        <v>118</v>
      </c>
      <c r="C402" t="s">
        <v>119</v>
      </c>
      <c r="D402" t="s">
        <v>70</v>
      </c>
    </row>
    <row r="403" spans="1:49" x14ac:dyDescent="0.35">
      <c r="A403" t="s">
        <v>177</v>
      </c>
      <c r="B403" t="s">
        <v>120</v>
      </c>
      <c r="C403" t="s">
        <v>121</v>
      </c>
      <c r="D403" t="s">
        <v>31</v>
      </c>
      <c r="E403" t="s">
        <v>32</v>
      </c>
      <c r="F403" t="s">
        <v>182</v>
      </c>
      <c r="G403" t="s">
        <v>82</v>
      </c>
      <c r="H403" t="s">
        <v>82</v>
      </c>
      <c r="I403" t="s">
        <v>82</v>
      </c>
      <c r="J403" t="s">
        <v>82</v>
      </c>
      <c r="K403" t="s">
        <v>82</v>
      </c>
      <c r="L403" t="s">
        <v>82</v>
      </c>
      <c r="M403" t="s">
        <v>82</v>
      </c>
      <c r="N403" t="s">
        <v>82</v>
      </c>
      <c r="O403" t="s">
        <v>82</v>
      </c>
      <c r="P403" t="s">
        <v>82</v>
      </c>
      <c r="Q403" t="s">
        <v>82</v>
      </c>
      <c r="R403" t="s">
        <v>82</v>
      </c>
      <c r="S403" t="s">
        <v>82</v>
      </c>
      <c r="T403" t="s">
        <v>82</v>
      </c>
      <c r="U403" t="s">
        <v>82</v>
      </c>
      <c r="V403" t="s">
        <v>82</v>
      </c>
      <c r="W403" t="s">
        <v>82</v>
      </c>
      <c r="X403" t="s">
        <v>82</v>
      </c>
      <c r="Y403" t="s">
        <v>82</v>
      </c>
      <c r="Z403">
        <v>76.019000000000005</v>
      </c>
      <c r="AA403">
        <v>86.528000000000006</v>
      </c>
      <c r="AB403">
        <v>116.705</v>
      </c>
      <c r="AC403">
        <v>89.262</v>
      </c>
      <c r="AD403">
        <v>98.885000000000005</v>
      </c>
      <c r="AE403">
        <v>90.991</v>
      </c>
      <c r="AF403">
        <v>122.88200000000001</v>
      </c>
      <c r="AG403">
        <v>96.692999999999998</v>
      </c>
      <c r="AH403">
        <v>87.11</v>
      </c>
      <c r="AI403">
        <v>101.35</v>
      </c>
      <c r="AJ403">
        <v>125.773</v>
      </c>
      <c r="AK403">
        <v>149.405</v>
      </c>
      <c r="AL403">
        <v>145.14099999999999</v>
      </c>
      <c r="AM403">
        <v>173.672</v>
      </c>
      <c r="AN403">
        <v>256.18700000000001</v>
      </c>
      <c r="AO403">
        <v>331.67399999999998</v>
      </c>
      <c r="AP403">
        <v>521.35299999999995</v>
      </c>
      <c r="AQ403">
        <v>782.82299999999998</v>
      </c>
      <c r="AR403">
        <v>713.12199999999996</v>
      </c>
      <c r="AS403">
        <v>772.80799999999999</v>
      </c>
      <c r="AT403">
        <v>827.92100000000005</v>
      </c>
      <c r="AU403">
        <v>894.54700000000003</v>
      </c>
      <c r="AV403">
        <v>945.91</v>
      </c>
      <c r="AW403" s="27">
        <v>1011.88</v>
      </c>
    </row>
    <row r="404" spans="1:49" x14ac:dyDescent="0.35">
      <c r="A404" t="s">
        <v>177</v>
      </c>
      <c r="B404" t="s">
        <v>120</v>
      </c>
      <c r="C404" t="s">
        <v>121</v>
      </c>
      <c r="D404" t="s">
        <v>70</v>
      </c>
      <c r="F404" t="s">
        <v>122</v>
      </c>
      <c r="G404" t="s">
        <v>82</v>
      </c>
      <c r="H404" t="s">
        <v>82</v>
      </c>
      <c r="I404" t="s">
        <v>82</v>
      </c>
      <c r="J404" t="s">
        <v>82</v>
      </c>
      <c r="K404" t="s">
        <v>82</v>
      </c>
      <c r="L404" t="s">
        <v>82</v>
      </c>
      <c r="M404" t="s">
        <v>82</v>
      </c>
      <c r="N404" t="s">
        <v>82</v>
      </c>
      <c r="O404" t="s">
        <v>82</v>
      </c>
      <c r="P404" t="s">
        <v>82</v>
      </c>
      <c r="Q404" t="s">
        <v>82</v>
      </c>
      <c r="R404" t="s">
        <v>82</v>
      </c>
      <c r="S404" t="s">
        <v>82</v>
      </c>
      <c r="T404" t="s">
        <v>82</v>
      </c>
      <c r="U404" t="s">
        <v>82</v>
      </c>
      <c r="V404" t="s">
        <v>82</v>
      </c>
      <c r="W404" t="s">
        <v>82</v>
      </c>
      <c r="X404" t="s">
        <v>82</v>
      </c>
      <c r="Y404" t="s">
        <v>82</v>
      </c>
      <c r="Z404">
        <v>115.94</v>
      </c>
      <c r="AA404">
        <v>118.179</v>
      </c>
      <c r="AB404">
        <v>123.395</v>
      </c>
      <c r="AC404">
        <v>75.787000000000006</v>
      </c>
      <c r="AD404">
        <v>74.933999999999997</v>
      </c>
      <c r="AE404">
        <v>59.706000000000003</v>
      </c>
      <c r="AF404">
        <v>70.158000000000001</v>
      </c>
      <c r="AG404">
        <v>46.610999999999997</v>
      </c>
      <c r="AH404">
        <v>35.99</v>
      </c>
      <c r="AI404">
        <v>36.283000000000001</v>
      </c>
      <c r="AJ404">
        <v>41.887</v>
      </c>
      <c r="AK404">
        <v>43.326000000000001</v>
      </c>
      <c r="AL404">
        <v>38.026000000000003</v>
      </c>
      <c r="AM404">
        <v>40.097999999999999</v>
      </c>
      <c r="AN404">
        <v>53.125</v>
      </c>
      <c r="AO404">
        <v>62.371000000000002</v>
      </c>
      <c r="AP404">
        <v>88.114000000000004</v>
      </c>
      <c r="AQ404">
        <v>113.58199999999999</v>
      </c>
      <c r="AR404">
        <v>88.194999999999993</v>
      </c>
      <c r="AS404">
        <v>85.641999999999996</v>
      </c>
      <c r="AT404">
        <v>81.995000000000005</v>
      </c>
      <c r="AU404">
        <v>78.808000000000007</v>
      </c>
      <c r="AV404">
        <v>73.784999999999997</v>
      </c>
      <c r="AW404">
        <v>65.573999999999998</v>
      </c>
    </row>
    <row r="405" spans="1:49" x14ac:dyDescent="0.35">
      <c r="A405" t="s">
        <v>177</v>
      </c>
      <c r="B405" t="s">
        <v>123</v>
      </c>
      <c r="C405" t="s">
        <v>124</v>
      </c>
      <c r="D405" t="s">
        <v>31</v>
      </c>
      <c r="E405" t="s">
        <v>32</v>
      </c>
      <c r="F405" t="s">
        <v>182</v>
      </c>
      <c r="G405">
        <v>0.188</v>
      </c>
      <c r="H405">
        <v>0.14799999999999999</v>
      </c>
      <c r="I405">
        <v>0.16200000000000001</v>
      </c>
      <c r="J405">
        <v>0.154</v>
      </c>
      <c r="K405">
        <v>0.17</v>
      </c>
      <c r="L405">
        <v>0.22800000000000001</v>
      </c>
      <c r="M405">
        <v>0.251</v>
      </c>
      <c r="N405">
        <v>0.81100000000000005</v>
      </c>
      <c r="O405">
        <v>1.302</v>
      </c>
      <c r="P405">
        <v>2.0430000000000001</v>
      </c>
      <c r="Q405">
        <v>3.85</v>
      </c>
      <c r="R405">
        <v>4.6150000000000002</v>
      </c>
      <c r="S405">
        <v>5.7210000000000001</v>
      </c>
      <c r="T405">
        <v>9.2449999999999992</v>
      </c>
      <c r="U405">
        <v>14.845000000000001</v>
      </c>
      <c r="V405">
        <v>22.771000000000001</v>
      </c>
      <c r="W405">
        <v>39.162999999999997</v>
      </c>
      <c r="X405">
        <v>47.454999999999998</v>
      </c>
      <c r="Y405">
        <v>55.911999999999999</v>
      </c>
      <c r="Z405">
        <v>65.566999999999993</v>
      </c>
      <c r="AA405">
        <v>73.218000000000004</v>
      </c>
      <c r="AB405">
        <v>94.578000000000003</v>
      </c>
      <c r="AC405">
        <v>117.78100000000001</v>
      </c>
      <c r="AD405">
        <v>131.96199999999999</v>
      </c>
      <c r="AE405">
        <v>152.398</v>
      </c>
      <c r="AF405">
        <v>175.15</v>
      </c>
      <c r="AG405">
        <v>207.44800000000001</v>
      </c>
      <c r="AH405">
        <v>242.03800000000001</v>
      </c>
      <c r="AI405">
        <v>279.33100000000002</v>
      </c>
      <c r="AJ405">
        <v>300.27</v>
      </c>
      <c r="AK405">
        <v>344.839</v>
      </c>
      <c r="AL405">
        <v>381.69200000000001</v>
      </c>
      <c r="AM405">
        <v>433.12200000000001</v>
      </c>
      <c r="AN405">
        <v>482.233</v>
      </c>
      <c r="AO405">
        <v>531.77700000000004</v>
      </c>
      <c r="AP405">
        <v>591.67899999999997</v>
      </c>
      <c r="AQ405">
        <v>689.21299999999997</v>
      </c>
      <c r="AR405">
        <v>808.577</v>
      </c>
      <c r="AS405">
        <v>902.37199999999996</v>
      </c>
      <c r="AT405" s="27">
        <v>1009.72</v>
      </c>
      <c r="AU405" s="27">
        <v>1135.0999999999999</v>
      </c>
      <c r="AV405" s="27">
        <v>1281.99</v>
      </c>
      <c r="AW405" s="27">
        <v>1543.12</v>
      </c>
    </row>
    <row r="406" spans="1:49" x14ac:dyDescent="0.35">
      <c r="A406" t="s">
        <v>177</v>
      </c>
      <c r="B406" t="s">
        <v>125</v>
      </c>
      <c r="C406" t="s">
        <v>126</v>
      </c>
      <c r="D406" t="s">
        <v>41</v>
      </c>
      <c r="E406" t="s">
        <v>32</v>
      </c>
      <c r="F406" t="s">
        <v>183</v>
      </c>
      <c r="G406">
        <v>-0.36699999999999999</v>
      </c>
      <c r="H406">
        <v>-0.40699999999999997</v>
      </c>
      <c r="I406">
        <v>-0.497</v>
      </c>
      <c r="J406">
        <v>-0.41499999999999998</v>
      </c>
      <c r="K406">
        <v>-0.308</v>
      </c>
      <c r="L406">
        <v>-0.30099999999999999</v>
      </c>
      <c r="M406">
        <v>-0.40899999999999997</v>
      </c>
      <c r="N406">
        <v>-0.38900000000000001</v>
      </c>
      <c r="O406">
        <v>-0.35899999999999999</v>
      </c>
      <c r="P406">
        <v>-0.46</v>
      </c>
      <c r="Q406">
        <v>-0.51700000000000002</v>
      </c>
      <c r="R406">
        <v>-0.55400000000000005</v>
      </c>
      <c r="S406">
        <v>-0.501</v>
      </c>
      <c r="T406">
        <v>-0.60899999999999999</v>
      </c>
      <c r="U406">
        <v>-0.64800000000000002</v>
      </c>
      <c r="V406">
        <v>-0.46400000000000002</v>
      </c>
      <c r="W406">
        <v>-0.56100000000000005</v>
      </c>
      <c r="X406">
        <v>-0.438</v>
      </c>
      <c r="Y406">
        <v>-0.77400000000000002</v>
      </c>
      <c r="Z406">
        <v>-0.85499999999999998</v>
      </c>
      <c r="AA406">
        <v>-0.69699999999999995</v>
      </c>
      <c r="AB406">
        <v>-0.64900000000000002</v>
      </c>
      <c r="AC406">
        <v>-0.86899999999999999</v>
      </c>
      <c r="AD406">
        <v>-0.81699999999999995</v>
      </c>
      <c r="AE406">
        <v>-0.47899999999999998</v>
      </c>
      <c r="AF406">
        <v>-0.76100000000000001</v>
      </c>
      <c r="AG406">
        <v>-0.755</v>
      </c>
      <c r="AH406">
        <v>-0.78600000000000003</v>
      </c>
      <c r="AI406">
        <v>-1.147</v>
      </c>
      <c r="AJ406">
        <v>-1.226</v>
      </c>
      <c r="AK406">
        <v>-1.679</v>
      </c>
      <c r="AL406">
        <v>-3.3290000000000002</v>
      </c>
      <c r="AM406">
        <v>-6.79</v>
      </c>
      <c r="AN406">
        <v>-6.875</v>
      </c>
      <c r="AO406">
        <v>-6.4370000000000003</v>
      </c>
      <c r="AP406">
        <v>-5.968</v>
      </c>
      <c r="AQ406">
        <v>-4.3070000000000004</v>
      </c>
      <c r="AR406">
        <v>-3.1619999999999999</v>
      </c>
      <c r="AS406">
        <v>-6.7629999999999999</v>
      </c>
      <c r="AT406">
        <v>-12.22</v>
      </c>
      <c r="AU406">
        <v>-16.346</v>
      </c>
      <c r="AV406">
        <v>-22.552</v>
      </c>
      <c r="AW406">
        <v>-24.975999999999999</v>
      </c>
    </row>
    <row r="407" spans="1:49" x14ac:dyDescent="0.35">
      <c r="A407" t="s">
        <v>177</v>
      </c>
      <c r="B407" t="s">
        <v>125</v>
      </c>
      <c r="C407" t="s">
        <v>126</v>
      </c>
      <c r="D407" t="s">
        <v>70</v>
      </c>
      <c r="F407" t="s">
        <v>128</v>
      </c>
      <c r="G407">
        <v>-6.7949999999999999</v>
      </c>
      <c r="H407">
        <v>-9.7040000000000006</v>
      </c>
      <c r="I407">
        <v>-11.587</v>
      </c>
      <c r="J407">
        <v>-10.82</v>
      </c>
      <c r="K407">
        <v>-7.7130000000000001</v>
      </c>
      <c r="L407">
        <v>-5.6980000000000004</v>
      </c>
      <c r="M407">
        <v>-6.5990000000000002</v>
      </c>
      <c r="N407">
        <v>-13.872999999999999</v>
      </c>
      <c r="O407">
        <v>-14.555999999999999</v>
      </c>
      <c r="P407">
        <v>-17.882000000000001</v>
      </c>
      <c r="Q407">
        <v>-12.53</v>
      </c>
      <c r="R407">
        <v>-17.212</v>
      </c>
      <c r="S407">
        <v>-23.03</v>
      </c>
      <c r="T407">
        <v>-26.9</v>
      </c>
      <c r="U407">
        <v>-26.341999999999999</v>
      </c>
      <c r="V407">
        <v>-18.390999999999998</v>
      </c>
      <c r="W407">
        <v>-16.181000000000001</v>
      </c>
      <c r="X407">
        <v>-10.644</v>
      </c>
      <c r="Y407">
        <v>-16.398</v>
      </c>
      <c r="Z407">
        <v>-16.539000000000001</v>
      </c>
      <c r="AA407">
        <v>-14.933</v>
      </c>
      <c r="AB407">
        <v>-14.218</v>
      </c>
      <c r="AC407">
        <v>-17.463999999999999</v>
      </c>
      <c r="AD407">
        <v>-14.715999999999999</v>
      </c>
      <c r="AE407">
        <v>-7.1020000000000003</v>
      </c>
      <c r="AF407">
        <v>-10.013999999999999</v>
      </c>
      <c r="AG407">
        <v>-9.0969999999999995</v>
      </c>
      <c r="AH407">
        <v>-8.3049999999999997</v>
      </c>
      <c r="AI407">
        <v>-9.9280000000000008</v>
      </c>
      <c r="AJ407">
        <v>-10.907</v>
      </c>
      <c r="AK407">
        <v>-16.061</v>
      </c>
      <c r="AL407">
        <v>-25.35</v>
      </c>
      <c r="AM407">
        <v>-44.735999999999997</v>
      </c>
      <c r="AN407">
        <v>-42.938000000000002</v>
      </c>
      <c r="AO407">
        <v>-38.154000000000003</v>
      </c>
      <c r="AP407">
        <v>-40.328000000000003</v>
      </c>
      <c r="AQ407">
        <v>-38.209000000000003</v>
      </c>
      <c r="AR407">
        <v>-25.617999999999999</v>
      </c>
      <c r="AS407">
        <v>-45.831000000000003</v>
      </c>
      <c r="AT407">
        <v>-76.713999999999999</v>
      </c>
      <c r="AU407">
        <v>-94.525000000000006</v>
      </c>
      <c r="AV407">
        <v>-119.667</v>
      </c>
      <c r="AW407">
        <v>-114.086</v>
      </c>
    </row>
    <row r="408" spans="1:49" x14ac:dyDescent="0.35">
      <c r="A408" t="s">
        <v>184</v>
      </c>
      <c r="B408" t="s">
        <v>29</v>
      </c>
      <c r="C408" t="s">
        <v>30</v>
      </c>
      <c r="D408" t="s">
        <v>31</v>
      </c>
      <c r="E408" t="s">
        <v>32</v>
      </c>
      <c r="F408" t="s">
        <v>185</v>
      </c>
      <c r="G408" t="s">
        <v>82</v>
      </c>
      <c r="H408" t="s">
        <v>82</v>
      </c>
      <c r="I408" t="s">
        <v>82</v>
      </c>
      <c r="J408" t="s">
        <v>82</v>
      </c>
      <c r="K408" t="s">
        <v>82</v>
      </c>
      <c r="L408" t="s">
        <v>82</v>
      </c>
      <c r="M408" t="s">
        <v>82</v>
      </c>
      <c r="N408" t="s">
        <v>82</v>
      </c>
      <c r="O408" t="s">
        <v>82</v>
      </c>
      <c r="P408" t="s">
        <v>82</v>
      </c>
      <c r="Q408">
        <v>18.795000000000002</v>
      </c>
      <c r="R408">
        <v>19.798999999999999</v>
      </c>
      <c r="S408">
        <v>21.635000000000002</v>
      </c>
      <c r="T408">
        <v>21.283999999999999</v>
      </c>
      <c r="U408">
        <v>21.923999999999999</v>
      </c>
      <c r="V408">
        <v>22.826000000000001</v>
      </c>
      <c r="W408">
        <v>23.555</v>
      </c>
      <c r="X408">
        <v>24.547999999999998</v>
      </c>
      <c r="Y408">
        <v>25.356000000000002</v>
      </c>
      <c r="Z408">
        <v>26.21</v>
      </c>
      <c r="AA408">
        <v>27.126000000000001</v>
      </c>
      <c r="AB408">
        <v>27.776</v>
      </c>
      <c r="AC408">
        <v>29.631</v>
      </c>
      <c r="AD408">
        <v>30.661000000000001</v>
      </c>
      <c r="AE408">
        <v>32.695</v>
      </c>
      <c r="AF408">
        <v>34.222000000000001</v>
      </c>
      <c r="AG408">
        <v>35.573</v>
      </c>
      <c r="AH408">
        <v>36.869999999999997</v>
      </c>
      <c r="AI408">
        <v>37.847000000000001</v>
      </c>
      <c r="AJ408">
        <v>37.959000000000003</v>
      </c>
      <c r="AK408">
        <v>40.250999999999998</v>
      </c>
      <c r="AL408">
        <v>42.301000000000002</v>
      </c>
      <c r="AM408">
        <v>44.442</v>
      </c>
      <c r="AN408">
        <v>46.936999999999998</v>
      </c>
      <c r="AO408">
        <v>49.917999999999999</v>
      </c>
      <c r="AP408">
        <v>52.908999999999999</v>
      </c>
      <c r="AQ408">
        <v>53.481000000000002</v>
      </c>
      <c r="AR408">
        <v>53.904000000000003</v>
      </c>
      <c r="AS408">
        <v>55.265000000000001</v>
      </c>
      <c r="AT408">
        <v>57.161999999999999</v>
      </c>
      <c r="AU408">
        <v>59.158000000000001</v>
      </c>
      <c r="AV408">
        <v>61.295999999999999</v>
      </c>
      <c r="AW408">
        <v>63.514000000000003</v>
      </c>
    </row>
    <row r="409" spans="1:49" x14ac:dyDescent="0.35">
      <c r="A409" t="s">
        <v>184</v>
      </c>
      <c r="B409" t="s">
        <v>29</v>
      </c>
      <c r="C409" t="s">
        <v>34</v>
      </c>
      <c r="D409" t="s">
        <v>35</v>
      </c>
      <c r="F409" t="s">
        <v>36</v>
      </c>
      <c r="G409" t="s">
        <v>82</v>
      </c>
      <c r="H409" t="s">
        <v>82</v>
      </c>
      <c r="I409" t="s">
        <v>82</v>
      </c>
      <c r="J409" t="s">
        <v>82</v>
      </c>
      <c r="K409" t="s">
        <v>82</v>
      </c>
      <c r="L409" t="s">
        <v>82</v>
      </c>
      <c r="M409" t="s">
        <v>82</v>
      </c>
      <c r="N409" t="s">
        <v>82</v>
      </c>
      <c r="O409" t="s">
        <v>82</v>
      </c>
      <c r="P409" t="s">
        <v>82</v>
      </c>
      <c r="Q409" t="s">
        <v>82</v>
      </c>
      <c r="R409">
        <v>5.343</v>
      </c>
      <c r="S409">
        <v>9.27</v>
      </c>
      <c r="T409">
        <v>-1.62</v>
      </c>
      <c r="U409">
        <v>3.0049999999999999</v>
      </c>
      <c r="V409">
        <v>4.1150000000000002</v>
      </c>
      <c r="W409">
        <v>3.1960000000000002</v>
      </c>
      <c r="X409">
        <v>4.2160000000000002</v>
      </c>
      <c r="Y409">
        <v>3.2909999999999999</v>
      </c>
      <c r="Z409">
        <v>3.3660000000000001</v>
      </c>
      <c r="AA409">
        <v>3.4969999999999999</v>
      </c>
      <c r="AB409">
        <v>2.3929999999999998</v>
      </c>
      <c r="AC409">
        <v>6.68</v>
      </c>
      <c r="AD409">
        <v>3.4769999999999999</v>
      </c>
      <c r="AE409">
        <v>6.6319999999999997</v>
      </c>
      <c r="AF409">
        <v>4.67</v>
      </c>
      <c r="AG409">
        <v>3.948</v>
      </c>
      <c r="AH409">
        <v>3.6459999999999999</v>
      </c>
      <c r="AI409">
        <v>2.65</v>
      </c>
      <c r="AJ409">
        <v>0.29599999999999999</v>
      </c>
      <c r="AK409">
        <v>6.0389999999999997</v>
      </c>
      <c r="AL409">
        <v>5.0910000000000002</v>
      </c>
      <c r="AM409">
        <v>5.0620000000000003</v>
      </c>
      <c r="AN409">
        <v>5.6150000000000002</v>
      </c>
      <c r="AO409">
        <v>6.3520000000000003</v>
      </c>
      <c r="AP409">
        <v>5.9909999999999997</v>
      </c>
      <c r="AQ409">
        <v>1.0820000000000001</v>
      </c>
      <c r="AR409">
        <v>0.79200000000000004</v>
      </c>
      <c r="AS409">
        <v>2.524</v>
      </c>
      <c r="AT409">
        <v>3.4319999999999999</v>
      </c>
      <c r="AU409">
        <v>3.492</v>
      </c>
      <c r="AV409">
        <v>3.6139999999999999</v>
      </c>
      <c r="AW409">
        <v>3.6179999999999999</v>
      </c>
    </row>
    <row r="410" spans="1:49" x14ac:dyDescent="0.35">
      <c r="A410" t="s">
        <v>184</v>
      </c>
      <c r="B410" t="s">
        <v>37</v>
      </c>
      <c r="C410" t="s">
        <v>38</v>
      </c>
      <c r="D410" t="s">
        <v>31</v>
      </c>
      <c r="E410" t="s">
        <v>32</v>
      </c>
      <c r="F410" t="s">
        <v>185</v>
      </c>
      <c r="G410" t="s">
        <v>82</v>
      </c>
      <c r="H410" t="s">
        <v>82</v>
      </c>
      <c r="I410" t="s">
        <v>82</v>
      </c>
      <c r="J410" t="s">
        <v>82</v>
      </c>
      <c r="K410" t="s">
        <v>82</v>
      </c>
      <c r="L410" t="s">
        <v>82</v>
      </c>
      <c r="M410" t="s">
        <v>82</v>
      </c>
      <c r="N410" t="s">
        <v>82</v>
      </c>
      <c r="O410" t="s">
        <v>82</v>
      </c>
      <c r="P410" t="s">
        <v>82</v>
      </c>
      <c r="Q410">
        <v>7.3440000000000003</v>
      </c>
      <c r="R410">
        <v>7.88</v>
      </c>
      <c r="S410">
        <v>8.5939999999999994</v>
      </c>
      <c r="T410">
        <v>9.4450000000000003</v>
      </c>
      <c r="U410">
        <v>11.548999999999999</v>
      </c>
      <c r="V410">
        <v>12.706</v>
      </c>
      <c r="W410">
        <v>15.010999999999999</v>
      </c>
      <c r="X410">
        <v>16.75</v>
      </c>
      <c r="Y410">
        <v>17.786999999999999</v>
      </c>
      <c r="Z410">
        <v>20.684000000000001</v>
      </c>
      <c r="AA410">
        <v>27.126000000000001</v>
      </c>
      <c r="AB410">
        <v>30.538</v>
      </c>
      <c r="AC410">
        <v>35.43</v>
      </c>
      <c r="AD410">
        <v>37.305999999999997</v>
      </c>
      <c r="AE410">
        <v>42.679000000000002</v>
      </c>
      <c r="AF410">
        <v>46.176000000000002</v>
      </c>
      <c r="AG410">
        <v>54.026000000000003</v>
      </c>
      <c r="AH410">
        <v>61.582999999999998</v>
      </c>
      <c r="AI410">
        <v>70.111000000000004</v>
      </c>
      <c r="AJ410">
        <v>75.213999999999999</v>
      </c>
      <c r="AK410">
        <v>82.599000000000004</v>
      </c>
      <c r="AL410">
        <v>90.108000000000004</v>
      </c>
      <c r="AM410">
        <v>106.864</v>
      </c>
      <c r="AN410">
        <v>122.792</v>
      </c>
      <c r="AO410">
        <v>138.76300000000001</v>
      </c>
      <c r="AP410">
        <v>147.63499999999999</v>
      </c>
      <c r="AQ410">
        <v>161.03</v>
      </c>
      <c r="AR410">
        <v>172.04300000000001</v>
      </c>
      <c r="AS410">
        <v>186.529</v>
      </c>
      <c r="AT410">
        <v>204.023</v>
      </c>
      <c r="AU410">
        <v>223.28899999999999</v>
      </c>
      <c r="AV410">
        <v>244.66200000000001</v>
      </c>
      <c r="AW410">
        <v>268.09199999999998</v>
      </c>
    </row>
    <row r="411" spans="1:49" x14ac:dyDescent="0.35">
      <c r="A411" t="s">
        <v>184</v>
      </c>
      <c r="B411" t="s">
        <v>37</v>
      </c>
      <c r="C411" t="s">
        <v>40</v>
      </c>
      <c r="D411" t="s">
        <v>41</v>
      </c>
      <c r="E411" t="s">
        <v>32</v>
      </c>
      <c r="F411" t="s">
        <v>42</v>
      </c>
      <c r="G411" t="s">
        <v>82</v>
      </c>
      <c r="H411" t="s">
        <v>82</v>
      </c>
      <c r="I411" t="s">
        <v>82</v>
      </c>
      <c r="J411" t="s">
        <v>82</v>
      </c>
      <c r="K411" t="s">
        <v>82</v>
      </c>
      <c r="L411" t="s">
        <v>82</v>
      </c>
      <c r="M411" t="s">
        <v>82</v>
      </c>
      <c r="N411" t="s">
        <v>82</v>
      </c>
      <c r="O411" t="s">
        <v>82</v>
      </c>
      <c r="P411" t="s">
        <v>82</v>
      </c>
      <c r="Q411">
        <v>2.8380000000000001</v>
      </c>
      <c r="R411">
        <v>2.8540000000000001</v>
      </c>
      <c r="S411">
        <v>3.0139999999999998</v>
      </c>
      <c r="T411">
        <v>2.891</v>
      </c>
      <c r="U411">
        <v>3.254</v>
      </c>
      <c r="V411">
        <v>3.5030000000000001</v>
      </c>
      <c r="W411">
        <v>3.4940000000000002</v>
      </c>
      <c r="X411">
        <v>3.6360000000000001</v>
      </c>
      <c r="Y411">
        <v>3.2149999999999999</v>
      </c>
      <c r="Z411">
        <v>3.3839999999999999</v>
      </c>
      <c r="AA411">
        <v>3.911</v>
      </c>
      <c r="AB411">
        <v>3.55</v>
      </c>
      <c r="AC411">
        <v>3.3690000000000002</v>
      </c>
      <c r="AD411">
        <v>4.9320000000000004</v>
      </c>
      <c r="AE411">
        <v>6.617</v>
      </c>
      <c r="AF411">
        <v>7.258</v>
      </c>
      <c r="AG411">
        <v>7.984</v>
      </c>
      <c r="AH411">
        <v>8.73</v>
      </c>
      <c r="AI411">
        <v>8.4960000000000004</v>
      </c>
      <c r="AJ411">
        <v>8.9149999999999991</v>
      </c>
      <c r="AK411">
        <v>11.281000000000001</v>
      </c>
      <c r="AL411">
        <v>12.423</v>
      </c>
      <c r="AM411">
        <v>13.016</v>
      </c>
      <c r="AN411">
        <v>12.724</v>
      </c>
      <c r="AO411">
        <v>12.795999999999999</v>
      </c>
      <c r="AP411">
        <v>11.577</v>
      </c>
      <c r="AQ411">
        <v>10.945</v>
      </c>
      <c r="AR411">
        <v>12.558</v>
      </c>
      <c r="AS411">
        <v>13.278</v>
      </c>
      <c r="AT411">
        <v>14.021000000000001</v>
      </c>
      <c r="AU411">
        <v>14.791</v>
      </c>
      <c r="AV411">
        <v>15.577</v>
      </c>
      <c r="AW411">
        <v>16.407</v>
      </c>
    </row>
    <row r="412" spans="1:49" x14ac:dyDescent="0.35">
      <c r="A412" t="s">
        <v>184</v>
      </c>
      <c r="B412" t="s">
        <v>37</v>
      </c>
      <c r="C412" t="s">
        <v>43</v>
      </c>
      <c r="D412" t="s">
        <v>44</v>
      </c>
      <c r="E412" t="s">
        <v>32</v>
      </c>
      <c r="F412" t="s">
        <v>42</v>
      </c>
      <c r="G412" t="s">
        <v>82</v>
      </c>
      <c r="H412" t="s">
        <v>82</v>
      </c>
      <c r="I412" t="s">
        <v>82</v>
      </c>
      <c r="J412" t="s">
        <v>82</v>
      </c>
      <c r="K412" t="s">
        <v>82</v>
      </c>
      <c r="L412" t="s">
        <v>82</v>
      </c>
      <c r="M412" t="s">
        <v>82</v>
      </c>
      <c r="N412" t="s">
        <v>82</v>
      </c>
      <c r="O412" t="s">
        <v>82</v>
      </c>
      <c r="P412" t="s">
        <v>82</v>
      </c>
      <c r="Q412">
        <v>5.5490000000000004</v>
      </c>
      <c r="R412">
        <v>6.04</v>
      </c>
      <c r="S412">
        <v>6.7510000000000003</v>
      </c>
      <c r="T412">
        <v>6.7990000000000004</v>
      </c>
      <c r="U412">
        <v>7.1529999999999996</v>
      </c>
      <c r="V412">
        <v>7.6020000000000003</v>
      </c>
      <c r="W412">
        <v>7.9880000000000004</v>
      </c>
      <c r="X412">
        <v>8.468</v>
      </c>
      <c r="Y412">
        <v>8.8409999999999993</v>
      </c>
      <c r="Z412">
        <v>9.2789999999999999</v>
      </c>
      <c r="AA412">
        <v>9.8219999999999992</v>
      </c>
      <c r="AB412">
        <v>10.286</v>
      </c>
      <c r="AC412">
        <v>11.141999999999999</v>
      </c>
      <c r="AD412">
        <v>11.759</v>
      </c>
      <c r="AE412">
        <v>12.884</v>
      </c>
      <c r="AF412">
        <v>13.919</v>
      </c>
      <c r="AG412">
        <v>14.913</v>
      </c>
      <c r="AH412">
        <v>15.868</v>
      </c>
      <c r="AI412">
        <v>16.608000000000001</v>
      </c>
      <c r="AJ412">
        <v>16.783999999999999</v>
      </c>
      <c r="AK412">
        <v>18.015000000000001</v>
      </c>
      <c r="AL412">
        <v>19.323</v>
      </c>
      <c r="AM412">
        <v>20.675000000000001</v>
      </c>
      <c r="AN412">
        <v>22.189</v>
      </c>
      <c r="AO412">
        <v>24.021000000000001</v>
      </c>
      <c r="AP412">
        <v>25.736999999999998</v>
      </c>
      <c r="AQ412">
        <v>26.347000000000001</v>
      </c>
      <c r="AR412">
        <v>27.018000000000001</v>
      </c>
      <c r="AS412">
        <v>28.238</v>
      </c>
      <c r="AT412">
        <v>29.83</v>
      </c>
      <c r="AU412">
        <v>31.521000000000001</v>
      </c>
      <c r="AV412">
        <v>33.338999999999999</v>
      </c>
      <c r="AW412">
        <v>35.21</v>
      </c>
    </row>
    <row r="413" spans="1:49" x14ac:dyDescent="0.35">
      <c r="A413" t="s">
        <v>184</v>
      </c>
      <c r="B413" t="s">
        <v>45</v>
      </c>
      <c r="C413" t="s">
        <v>46</v>
      </c>
      <c r="D413" t="s">
        <v>47</v>
      </c>
      <c r="F413" t="s">
        <v>48</v>
      </c>
      <c r="G413" t="s">
        <v>82</v>
      </c>
      <c r="H413" t="s">
        <v>82</v>
      </c>
      <c r="I413" t="s">
        <v>82</v>
      </c>
      <c r="J413" t="s">
        <v>82</v>
      </c>
      <c r="K413" t="s">
        <v>82</v>
      </c>
      <c r="L413" t="s">
        <v>82</v>
      </c>
      <c r="M413" t="s">
        <v>82</v>
      </c>
      <c r="N413" t="s">
        <v>82</v>
      </c>
      <c r="O413" t="s">
        <v>82</v>
      </c>
      <c r="P413" t="s">
        <v>82</v>
      </c>
      <c r="Q413">
        <v>39.073</v>
      </c>
      <c r="R413">
        <v>39.801000000000002</v>
      </c>
      <c r="S413">
        <v>39.725000000000001</v>
      </c>
      <c r="T413">
        <v>44.375999999999998</v>
      </c>
      <c r="U413">
        <v>52.677999999999997</v>
      </c>
      <c r="V413">
        <v>55.664000000000001</v>
      </c>
      <c r="W413">
        <v>63.726999999999997</v>
      </c>
      <c r="X413">
        <v>68.234999999999999</v>
      </c>
      <c r="Y413">
        <v>70.150000000000006</v>
      </c>
      <c r="Z413">
        <v>78.917000000000002</v>
      </c>
      <c r="AA413">
        <v>100</v>
      </c>
      <c r="AB413">
        <v>109.944</v>
      </c>
      <c r="AC413">
        <v>119.571</v>
      </c>
      <c r="AD413">
        <v>121.67100000000001</v>
      </c>
      <c r="AE413">
        <v>130.53700000000001</v>
      </c>
      <c r="AF413">
        <v>134.93100000000001</v>
      </c>
      <c r="AG413">
        <v>151.874</v>
      </c>
      <c r="AH413">
        <v>167.02799999999999</v>
      </c>
      <c r="AI413">
        <v>185.24799999999999</v>
      </c>
      <c r="AJ413">
        <v>198.14599999999999</v>
      </c>
      <c r="AK413">
        <v>205.209</v>
      </c>
      <c r="AL413">
        <v>213.017</v>
      </c>
      <c r="AM413">
        <v>240.458</v>
      </c>
      <c r="AN413">
        <v>261.60899999999998</v>
      </c>
      <c r="AO413">
        <v>277.98099999999999</v>
      </c>
      <c r="AP413">
        <v>279.03699999999998</v>
      </c>
      <c r="AQ413">
        <v>301.09800000000001</v>
      </c>
      <c r="AR413">
        <v>319.16399999999999</v>
      </c>
      <c r="AS413">
        <v>337.51499999999999</v>
      </c>
      <c r="AT413">
        <v>356.923</v>
      </c>
      <c r="AU413">
        <v>377.44600000000003</v>
      </c>
      <c r="AV413">
        <v>399.149</v>
      </c>
      <c r="AW413">
        <v>422.1</v>
      </c>
    </row>
    <row r="414" spans="1:49" x14ac:dyDescent="0.35">
      <c r="A414" t="s">
        <v>184</v>
      </c>
      <c r="B414" t="s">
        <v>49</v>
      </c>
      <c r="C414" t="s">
        <v>50</v>
      </c>
      <c r="D414" t="s">
        <v>31</v>
      </c>
      <c r="E414" t="s">
        <v>26</v>
      </c>
      <c r="F414" t="s">
        <v>51</v>
      </c>
      <c r="G414" t="s">
        <v>82</v>
      </c>
      <c r="H414" t="s">
        <v>82</v>
      </c>
      <c r="I414" t="s">
        <v>82</v>
      </c>
      <c r="J414" t="s">
        <v>82</v>
      </c>
      <c r="K414" t="s">
        <v>82</v>
      </c>
      <c r="L414" t="s">
        <v>82</v>
      </c>
      <c r="M414" t="s">
        <v>82</v>
      </c>
      <c r="N414" t="s">
        <v>82</v>
      </c>
      <c r="O414" t="s">
        <v>82</v>
      </c>
      <c r="P414" t="s">
        <v>82</v>
      </c>
      <c r="Q414" s="27">
        <v>13971.17</v>
      </c>
      <c r="R414" s="27">
        <v>14115.41</v>
      </c>
      <c r="S414" s="27">
        <v>14867.13</v>
      </c>
      <c r="T414" s="27">
        <v>14155.31</v>
      </c>
      <c r="U414" s="27">
        <v>14151.8</v>
      </c>
      <c r="V414" s="27">
        <v>14319.48</v>
      </c>
      <c r="W414" s="27">
        <v>14336.13</v>
      </c>
      <c r="X414" s="27">
        <v>14474.58</v>
      </c>
      <c r="Y414" s="27">
        <v>14488.46</v>
      </c>
      <c r="Z414" s="27">
        <v>14520.28</v>
      </c>
      <c r="AA414" s="27">
        <v>14839.22</v>
      </c>
      <c r="AB414" s="27">
        <v>15178.6</v>
      </c>
      <c r="AC414" s="27">
        <v>15930.34</v>
      </c>
      <c r="AD414" s="27">
        <v>16214.29</v>
      </c>
      <c r="AE414" s="27">
        <v>17002.5</v>
      </c>
      <c r="AF414" s="27">
        <v>17486.71</v>
      </c>
      <c r="AG414" s="27">
        <v>17857.54</v>
      </c>
      <c r="AH414" s="27">
        <v>18492.88</v>
      </c>
      <c r="AI414" s="27">
        <v>18702.37</v>
      </c>
      <c r="AJ414" s="27">
        <v>18480.509999999998</v>
      </c>
      <c r="AK414" s="27">
        <v>19306.990000000002</v>
      </c>
      <c r="AL414" s="27">
        <v>19990.13</v>
      </c>
      <c r="AM414" s="27">
        <v>20618.419999999998</v>
      </c>
      <c r="AN414" s="27">
        <v>21373.05</v>
      </c>
      <c r="AO414" s="27">
        <v>22305.94</v>
      </c>
      <c r="AP414" s="27">
        <v>23198.34</v>
      </c>
      <c r="AQ414" s="27">
        <v>23008.65</v>
      </c>
      <c r="AR414" s="27">
        <v>22999.91</v>
      </c>
      <c r="AS414" s="27">
        <v>23386.41</v>
      </c>
      <c r="AT414" s="27">
        <v>23989.81</v>
      </c>
      <c r="AU414" s="27">
        <v>24623.27</v>
      </c>
      <c r="AV414" s="27">
        <v>25303.14</v>
      </c>
      <c r="AW414" s="27">
        <v>26002.84</v>
      </c>
    </row>
    <row r="415" spans="1:49" x14ac:dyDescent="0.35">
      <c r="A415" t="s">
        <v>184</v>
      </c>
      <c r="B415" t="s">
        <v>49</v>
      </c>
      <c r="C415" t="s">
        <v>52</v>
      </c>
      <c r="D415" t="s">
        <v>53</v>
      </c>
      <c r="E415" t="s">
        <v>26</v>
      </c>
      <c r="F415" t="s">
        <v>51</v>
      </c>
      <c r="G415" t="s">
        <v>82</v>
      </c>
      <c r="H415" t="s">
        <v>82</v>
      </c>
      <c r="I415" t="s">
        <v>82</v>
      </c>
      <c r="J415" t="s">
        <v>82</v>
      </c>
      <c r="K415" t="s">
        <v>82</v>
      </c>
      <c r="L415" t="s">
        <v>82</v>
      </c>
      <c r="M415" t="s">
        <v>82</v>
      </c>
      <c r="N415" t="s">
        <v>82</v>
      </c>
      <c r="O415" t="s">
        <v>82</v>
      </c>
      <c r="P415" t="s">
        <v>82</v>
      </c>
      <c r="Q415" s="27">
        <v>6382.05</v>
      </c>
      <c r="R415" s="27">
        <v>6447.94</v>
      </c>
      <c r="S415" s="27">
        <v>6791.33</v>
      </c>
      <c r="T415" s="27">
        <v>6466.17</v>
      </c>
      <c r="U415" s="27">
        <v>6464.56</v>
      </c>
      <c r="V415" s="27">
        <v>6541.16</v>
      </c>
      <c r="W415" s="27">
        <v>6548.76</v>
      </c>
      <c r="X415" s="27">
        <v>6612.01</v>
      </c>
      <c r="Y415" s="27">
        <v>6618.35</v>
      </c>
      <c r="Z415" s="27">
        <v>6632.88</v>
      </c>
      <c r="AA415" s="27">
        <v>6778.58</v>
      </c>
      <c r="AB415" s="27">
        <v>6933.61</v>
      </c>
      <c r="AC415" s="27">
        <v>7277</v>
      </c>
      <c r="AD415" s="27">
        <v>7406.71</v>
      </c>
      <c r="AE415" s="27">
        <v>7766.77</v>
      </c>
      <c r="AF415" s="27">
        <v>7987.95</v>
      </c>
      <c r="AG415" s="27">
        <v>8157.35</v>
      </c>
      <c r="AH415" s="27">
        <v>8447.57</v>
      </c>
      <c r="AI415" s="27">
        <v>8543.27</v>
      </c>
      <c r="AJ415" s="27">
        <v>8441.93</v>
      </c>
      <c r="AK415" s="27">
        <v>8819.4599999999991</v>
      </c>
      <c r="AL415" s="27">
        <v>9131.52</v>
      </c>
      <c r="AM415" s="27">
        <v>9418.5300000000007</v>
      </c>
      <c r="AN415" s="27">
        <v>9763.24</v>
      </c>
      <c r="AO415" s="27">
        <v>10189.39</v>
      </c>
      <c r="AP415" s="27">
        <v>10597.04</v>
      </c>
      <c r="AQ415" s="27">
        <v>10510.39</v>
      </c>
      <c r="AR415" s="27">
        <v>10506.4</v>
      </c>
      <c r="AS415" s="27">
        <v>10682.95</v>
      </c>
      <c r="AT415" s="27">
        <v>10958.58</v>
      </c>
      <c r="AU415" s="27">
        <v>11247.95</v>
      </c>
      <c r="AV415" s="27">
        <v>11558.51</v>
      </c>
      <c r="AW415" s="27">
        <v>11878.14</v>
      </c>
    </row>
    <row r="416" spans="1:49" x14ac:dyDescent="0.35">
      <c r="A416" t="s">
        <v>184</v>
      </c>
      <c r="B416" t="s">
        <v>54</v>
      </c>
      <c r="C416" t="s">
        <v>55</v>
      </c>
      <c r="D416" t="s">
        <v>31</v>
      </c>
      <c r="E416" t="s">
        <v>26</v>
      </c>
      <c r="F416" t="s">
        <v>56</v>
      </c>
      <c r="G416" t="s">
        <v>82</v>
      </c>
      <c r="H416" t="s">
        <v>82</v>
      </c>
      <c r="I416" t="s">
        <v>82</v>
      </c>
      <c r="J416" t="s">
        <v>82</v>
      </c>
      <c r="K416" t="s">
        <v>82</v>
      </c>
      <c r="L416" t="s">
        <v>82</v>
      </c>
      <c r="M416" t="s">
        <v>82</v>
      </c>
      <c r="N416" t="s">
        <v>82</v>
      </c>
      <c r="O416" t="s">
        <v>82</v>
      </c>
      <c r="P416" t="s">
        <v>82</v>
      </c>
      <c r="Q416" s="27">
        <v>5458.94</v>
      </c>
      <c r="R416" s="27">
        <v>5618.08</v>
      </c>
      <c r="S416" s="27">
        <v>5905.96</v>
      </c>
      <c r="T416" s="27">
        <v>6281.54</v>
      </c>
      <c r="U416" s="27">
        <v>7454.94</v>
      </c>
      <c r="V416" s="27">
        <v>7970.82</v>
      </c>
      <c r="W416" s="27">
        <v>9136.0400000000009</v>
      </c>
      <c r="X416" s="27">
        <v>9876.68</v>
      </c>
      <c r="Y416" s="27">
        <v>10163.67</v>
      </c>
      <c r="Z416" s="27">
        <v>11458.95</v>
      </c>
      <c r="AA416" s="27">
        <v>14839.22</v>
      </c>
      <c r="AB416" s="27">
        <v>16687.990000000002</v>
      </c>
      <c r="AC416" s="27">
        <v>19048</v>
      </c>
      <c r="AD416" s="27">
        <v>19728.060000000001</v>
      </c>
      <c r="AE416" s="27">
        <v>22194.52</v>
      </c>
      <c r="AF416" s="27">
        <v>23594.98</v>
      </c>
      <c r="AG416" s="27">
        <v>27121</v>
      </c>
      <c r="AH416" s="27">
        <v>30888.21</v>
      </c>
      <c r="AI416" s="27">
        <v>34645.730000000003</v>
      </c>
      <c r="AJ416" s="27">
        <v>36618.480000000003</v>
      </c>
      <c r="AK416" s="27">
        <v>39619.629999999997</v>
      </c>
      <c r="AL416" s="27">
        <v>42582.37</v>
      </c>
      <c r="AM416" s="27">
        <v>49578.559999999998</v>
      </c>
      <c r="AN416" s="27">
        <v>55913.81</v>
      </c>
      <c r="AO416" s="27">
        <v>62006.28</v>
      </c>
      <c r="AP416" s="27">
        <v>64731.88</v>
      </c>
      <c r="AQ416" s="27">
        <v>69278.53</v>
      </c>
      <c r="AR416" s="27">
        <v>73407.350000000006</v>
      </c>
      <c r="AS416" s="27">
        <v>78932.75</v>
      </c>
      <c r="AT416" s="27">
        <v>85625.05</v>
      </c>
      <c r="AU416" s="27">
        <v>92939.47</v>
      </c>
      <c r="AV416" s="27">
        <v>100997.17</v>
      </c>
      <c r="AW416" s="27">
        <v>109757.94</v>
      </c>
    </row>
    <row r="417" spans="1:49" x14ac:dyDescent="0.35">
      <c r="A417" t="s">
        <v>184</v>
      </c>
      <c r="B417" t="s">
        <v>54</v>
      </c>
      <c r="C417" t="s">
        <v>57</v>
      </c>
      <c r="D417" t="s">
        <v>41</v>
      </c>
      <c r="E417" t="s">
        <v>26</v>
      </c>
      <c r="F417" t="s">
        <v>56</v>
      </c>
      <c r="G417" t="s">
        <v>82</v>
      </c>
      <c r="H417" t="s">
        <v>82</v>
      </c>
      <c r="I417" t="s">
        <v>82</v>
      </c>
      <c r="J417" t="s">
        <v>82</v>
      </c>
      <c r="K417" t="s">
        <v>82</v>
      </c>
      <c r="L417" t="s">
        <v>82</v>
      </c>
      <c r="M417" t="s">
        <v>82</v>
      </c>
      <c r="N417" t="s">
        <v>82</v>
      </c>
      <c r="O417" t="s">
        <v>82</v>
      </c>
      <c r="P417" t="s">
        <v>82</v>
      </c>
      <c r="Q417" s="27">
        <v>2109.5300000000002</v>
      </c>
      <c r="R417" s="27">
        <v>2034.92</v>
      </c>
      <c r="S417" s="27">
        <v>2071</v>
      </c>
      <c r="T417" s="27">
        <v>1922.82</v>
      </c>
      <c r="U417" s="27">
        <v>2100.2800000000002</v>
      </c>
      <c r="V417" s="27">
        <v>2197.59</v>
      </c>
      <c r="W417" s="27">
        <v>2126.35</v>
      </c>
      <c r="X417" s="27">
        <v>2143.73</v>
      </c>
      <c r="Y417" s="27">
        <v>1837.31</v>
      </c>
      <c r="Z417" s="27">
        <v>1874.47</v>
      </c>
      <c r="AA417" s="27">
        <v>2139.71</v>
      </c>
      <c r="AB417" s="27">
        <v>1939.79</v>
      </c>
      <c r="AC417" s="27">
        <v>1811.25</v>
      </c>
      <c r="AD417" s="27">
        <v>2607.86</v>
      </c>
      <c r="AE417" s="27">
        <v>3440.97</v>
      </c>
      <c r="AF417" s="27">
        <v>3708.79</v>
      </c>
      <c r="AG417" s="27">
        <v>4007.73</v>
      </c>
      <c r="AH417" s="27">
        <v>4378.5600000000004</v>
      </c>
      <c r="AI417" s="27">
        <v>4198.55</v>
      </c>
      <c r="AJ417" s="27">
        <v>4340.18</v>
      </c>
      <c r="AK417" s="27">
        <v>5410.98</v>
      </c>
      <c r="AL417" s="27">
        <v>5870.93</v>
      </c>
      <c r="AM417" s="27">
        <v>6038.86</v>
      </c>
      <c r="AN417" s="27">
        <v>5793.93</v>
      </c>
      <c r="AO417" s="27">
        <v>5717.76</v>
      </c>
      <c r="AP417" s="27">
        <v>5076.05</v>
      </c>
      <c r="AQ417" s="27">
        <v>4708.66</v>
      </c>
      <c r="AR417" s="27">
        <v>5358.2</v>
      </c>
      <c r="AS417" s="27">
        <v>5618.73</v>
      </c>
      <c r="AT417" s="27">
        <v>5884.38</v>
      </c>
      <c r="AU417" s="27">
        <v>6156.54</v>
      </c>
      <c r="AV417" s="27">
        <v>6430.02</v>
      </c>
      <c r="AW417" s="27">
        <v>6717.11</v>
      </c>
    </row>
    <row r="418" spans="1:49" x14ac:dyDescent="0.35">
      <c r="A418" t="s">
        <v>184</v>
      </c>
      <c r="B418" t="s">
        <v>54</v>
      </c>
      <c r="C418" t="s">
        <v>58</v>
      </c>
      <c r="D418" t="s">
        <v>44</v>
      </c>
      <c r="E418" t="s">
        <v>26</v>
      </c>
      <c r="F418" t="s">
        <v>56</v>
      </c>
      <c r="G418" t="s">
        <v>82</v>
      </c>
      <c r="H418" t="s">
        <v>82</v>
      </c>
      <c r="I418" t="s">
        <v>82</v>
      </c>
      <c r="J418" t="s">
        <v>82</v>
      </c>
      <c r="K418" t="s">
        <v>82</v>
      </c>
      <c r="L418" t="s">
        <v>82</v>
      </c>
      <c r="M418" t="s">
        <v>82</v>
      </c>
      <c r="N418" t="s">
        <v>82</v>
      </c>
      <c r="O418" t="s">
        <v>82</v>
      </c>
      <c r="P418" t="s">
        <v>82</v>
      </c>
      <c r="Q418" s="27">
        <v>4124.93</v>
      </c>
      <c r="R418" s="27">
        <v>4306.2299999999996</v>
      </c>
      <c r="S418" s="27">
        <v>4638.96</v>
      </c>
      <c r="T418" s="27">
        <v>4521.93</v>
      </c>
      <c r="U418" s="27">
        <v>4617.03</v>
      </c>
      <c r="V418" s="27">
        <v>4769.17</v>
      </c>
      <c r="W418" s="27">
        <v>4861.8500000000004</v>
      </c>
      <c r="X418" s="27">
        <v>4992.8500000000004</v>
      </c>
      <c r="Y418" s="27">
        <v>5051.87</v>
      </c>
      <c r="Z418" s="27">
        <v>5140.45</v>
      </c>
      <c r="AA418" s="27">
        <v>5372.89</v>
      </c>
      <c r="AB418" s="27">
        <v>5621.02</v>
      </c>
      <c r="AC418" s="27">
        <v>5989.97</v>
      </c>
      <c r="AD418" s="27">
        <v>6218.31</v>
      </c>
      <c r="AE418" s="27">
        <v>6699.9</v>
      </c>
      <c r="AF418" s="27">
        <v>7112.4</v>
      </c>
      <c r="AG418" s="27">
        <v>7486.41</v>
      </c>
      <c r="AH418" s="27">
        <v>7959.06</v>
      </c>
      <c r="AI418" s="27">
        <v>8207.1200000000008</v>
      </c>
      <c r="AJ418" s="27">
        <v>8171.35</v>
      </c>
      <c r="AK418" s="27">
        <v>8641.09</v>
      </c>
      <c r="AL418" s="27">
        <v>9131.52</v>
      </c>
      <c r="AM418" s="27">
        <v>9592.02</v>
      </c>
      <c r="AN418" s="27">
        <v>10103.66</v>
      </c>
      <c r="AO418" s="27">
        <v>10733.92</v>
      </c>
      <c r="AP418" s="27">
        <v>11284.4</v>
      </c>
      <c r="AQ418" s="27">
        <v>11334.93</v>
      </c>
      <c r="AR418" s="27">
        <v>11528.01</v>
      </c>
      <c r="AS418" s="27">
        <v>11949.24</v>
      </c>
      <c r="AT418" s="27">
        <v>12519.12</v>
      </c>
      <c r="AU418" s="27">
        <v>13119.98</v>
      </c>
      <c r="AV418" s="27">
        <v>13762.24</v>
      </c>
      <c r="AW418" s="27">
        <v>14414.94</v>
      </c>
    </row>
    <row r="419" spans="1:49" x14ac:dyDescent="0.35">
      <c r="A419" t="s">
        <v>184</v>
      </c>
      <c r="B419" t="s">
        <v>59</v>
      </c>
      <c r="C419" t="s">
        <v>60</v>
      </c>
      <c r="D419" t="s">
        <v>61</v>
      </c>
    </row>
    <row r="420" spans="1:49" x14ac:dyDescent="0.35">
      <c r="A420" t="s">
        <v>184</v>
      </c>
      <c r="B420" t="s">
        <v>62</v>
      </c>
      <c r="C420" t="s">
        <v>63</v>
      </c>
      <c r="D420" t="s">
        <v>64</v>
      </c>
      <c r="F420" t="s">
        <v>42</v>
      </c>
      <c r="G420" t="s">
        <v>82</v>
      </c>
      <c r="H420" t="s">
        <v>82</v>
      </c>
      <c r="I420" t="s">
        <v>82</v>
      </c>
      <c r="J420" t="s">
        <v>82</v>
      </c>
      <c r="K420" t="s">
        <v>82</v>
      </c>
      <c r="L420" t="s">
        <v>82</v>
      </c>
      <c r="M420" t="s">
        <v>82</v>
      </c>
      <c r="N420" t="s">
        <v>82</v>
      </c>
      <c r="O420" t="s">
        <v>82</v>
      </c>
      <c r="P420" t="s">
        <v>82</v>
      </c>
      <c r="Q420">
        <v>0.02</v>
      </c>
      <c r="R420">
        <v>2.1000000000000001E-2</v>
      </c>
      <c r="S420">
        <v>2.1000000000000001E-2</v>
      </c>
      <c r="T420">
        <v>0.02</v>
      </c>
      <c r="U420">
        <v>0.02</v>
      </c>
      <c r="V420">
        <v>0.02</v>
      </c>
      <c r="W420">
        <v>0.02</v>
      </c>
      <c r="X420">
        <v>0.02</v>
      </c>
      <c r="Y420">
        <v>0.02</v>
      </c>
      <c r="Z420">
        <v>0.02</v>
      </c>
      <c r="AA420">
        <v>0.02</v>
      </c>
      <c r="AB420">
        <v>0.02</v>
      </c>
      <c r="AC420">
        <v>0.02</v>
      </c>
      <c r="AD420">
        <v>0.02</v>
      </c>
      <c r="AE420">
        <v>2.1000000000000001E-2</v>
      </c>
      <c r="AF420">
        <v>2.1000000000000001E-2</v>
      </c>
      <c r="AG420">
        <v>0.02</v>
      </c>
      <c r="AH420">
        <v>0.02</v>
      </c>
      <c r="AI420">
        <v>0.02</v>
      </c>
      <c r="AJ420">
        <v>0.02</v>
      </c>
      <c r="AK420">
        <v>0.02</v>
      </c>
      <c r="AL420">
        <v>0.02</v>
      </c>
      <c r="AM420">
        <v>2.1000000000000001E-2</v>
      </c>
      <c r="AN420">
        <v>2.1000000000000001E-2</v>
      </c>
      <c r="AO420">
        <v>2.1999999999999999E-2</v>
      </c>
      <c r="AP420">
        <v>2.1999999999999999E-2</v>
      </c>
      <c r="AQ420">
        <v>2.1999999999999999E-2</v>
      </c>
      <c r="AR420">
        <v>2.1000000000000001E-2</v>
      </c>
      <c r="AS420">
        <v>2.1000000000000001E-2</v>
      </c>
      <c r="AT420">
        <v>2.1000000000000001E-2</v>
      </c>
      <c r="AU420">
        <v>2.1000000000000001E-2</v>
      </c>
      <c r="AV420">
        <v>2.1000000000000001E-2</v>
      </c>
      <c r="AW420">
        <v>2.1000000000000001E-2</v>
      </c>
    </row>
    <row r="421" spans="1:49" x14ac:dyDescent="0.35">
      <c r="A421" t="s">
        <v>184</v>
      </c>
      <c r="B421" t="s">
        <v>65</v>
      </c>
      <c r="C421" t="s">
        <v>66</v>
      </c>
      <c r="D421" t="s">
        <v>67</v>
      </c>
      <c r="F421" t="s">
        <v>42</v>
      </c>
      <c r="G421" t="s">
        <v>82</v>
      </c>
      <c r="H421" t="s">
        <v>82</v>
      </c>
      <c r="I421" t="s">
        <v>82</v>
      </c>
      <c r="J421" t="s">
        <v>82</v>
      </c>
      <c r="K421" t="s">
        <v>82</v>
      </c>
      <c r="L421" t="s">
        <v>82</v>
      </c>
      <c r="M421" t="s">
        <v>82</v>
      </c>
      <c r="N421" t="s">
        <v>82</v>
      </c>
      <c r="O421" t="s">
        <v>82</v>
      </c>
      <c r="P421" t="s">
        <v>82</v>
      </c>
      <c r="Q421">
        <v>1.323</v>
      </c>
      <c r="R421">
        <v>1.3049999999999999</v>
      </c>
      <c r="S421">
        <v>1.2729999999999999</v>
      </c>
      <c r="T421">
        <v>1.389</v>
      </c>
      <c r="U421">
        <v>1.615</v>
      </c>
      <c r="V421">
        <v>1.671</v>
      </c>
      <c r="W421">
        <v>1.879</v>
      </c>
      <c r="X421">
        <v>1.978</v>
      </c>
      <c r="Y421">
        <v>2.012</v>
      </c>
      <c r="Z421">
        <v>2.2290000000000001</v>
      </c>
      <c r="AA421">
        <v>2.762</v>
      </c>
      <c r="AB421">
        <v>2.9689999999999999</v>
      </c>
      <c r="AC421">
        <v>3.18</v>
      </c>
      <c r="AD421">
        <v>3.173</v>
      </c>
      <c r="AE421">
        <v>3.3130000000000002</v>
      </c>
      <c r="AF421">
        <v>3.3170000000000002</v>
      </c>
      <c r="AG421">
        <v>3.6230000000000002</v>
      </c>
      <c r="AH421">
        <v>3.8809999999999998</v>
      </c>
      <c r="AI421">
        <v>4.2210000000000001</v>
      </c>
      <c r="AJ421">
        <v>4.4809999999999999</v>
      </c>
      <c r="AK421">
        <v>4.585</v>
      </c>
      <c r="AL421">
        <v>4.6630000000000003</v>
      </c>
      <c r="AM421">
        <v>5.1689999999999996</v>
      </c>
      <c r="AN421">
        <v>5.5339999999999998</v>
      </c>
      <c r="AO421">
        <v>5.7770000000000001</v>
      </c>
      <c r="AP421">
        <v>5.7359999999999998</v>
      </c>
      <c r="AQ421">
        <v>6.1120000000000001</v>
      </c>
      <c r="AR421">
        <v>6.3680000000000003</v>
      </c>
      <c r="AS421">
        <v>6.6059999999999999</v>
      </c>
      <c r="AT421">
        <v>6.84</v>
      </c>
      <c r="AU421">
        <v>7.0839999999999996</v>
      </c>
      <c r="AV421">
        <v>7.3390000000000004</v>
      </c>
      <c r="AW421">
        <v>7.6139999999999999</v>
      </c>
    </row>
    <row r="422" spans="1:49" x14ac:dyDescent="0.35">
      <c r="A422" t="s">
        <v>184</v>
      </c>
      <c r="B422" t="s">
        <v>68</v>
      </c>
      <c r="C422" t="s">
        <v>69</v>
      </c>
      <c r="D422" t="s">
        <v>70</v>
      </c>
      <c r="F422" t="s">
        <v>185</v>
      </c>
      <c r="G422" t="s">
        <v>82</v>
      </c>
      <c r="H422" t="s">
        <v>82</v>
      </c>
      <c r="I422" t="s">
        <v>82</v>
      </c>
      <c r="J422" t="s">
        <v>82</v>
      </c>
      <c r="K422" t="s">
        <v>82</v>
      </c>
      <c r="L422" t="s">
        <v>82</v>
      </c>
      <c r="M422" t="s">
        <v>82</v>
      </c>
      <c r="N422" t="s">
        <v>82</v>
      </c>
      <c r="O422" t="s">
        <v>82</v>
      </c>
      <c r="P422">
        <v>14.106999999999999</v>
      </c>
      <c r="Q422">
        <v>27.873999999999999</v>
      </c>
      <c r="R422">
        <v>16.37</v>
      </c>
      <c r="S422">
        <v>20.582999999999998</v>
      </c>
      <c r="T422">
        <v>16.21</v>
      </c>
      <c r="U422">
        <v>21.707999999999998</v>
      </c>
      <c r="V422">
        <v>21.690999999999999</v>
      </c>
      <c r="W422">
        <v>23.116</v>
      </c>
      <c r="X422">
        <v>20.184999999999999</v>
      </c>
      <c r="Y422">
        <v>27.21</v>
      </c>
      <c r="Z422">
        <v>23.289000000000001</v>
      </c>
      <c r="AA422">
        <v>17.097999999999999</v>
      </c>
      <c r="AB422">
        <v>22.317</v>
      </c>
      <c r="AC422">
        <v>18.521000000000001</v>
      </c>
      <c r="AD422">
        <v>19.37</v>
      </c>
      <c r="AE422">
        <v>19.068000000000001</v>
      </c>
      <c r="AF422">
        <v>19.690000000000001</v>
      </c>
      <c r="AG422">
        <v>22.263000000000002</v>
      </c>
      <c r="AH422">
        <v>24.364000000000001</v>
      </c>
      <c r="AI422">
        <v>27.832999999999998</v>
      </c>
      <c r="AJ422">
        <v>26.452999999999999</v>
      </c>
      <c r="AK422">
        <v>24.123999999999999</v>
      </c>
      <c r="AL422">
        <v>22.375</v>
      </c>
      <c r="AM422">
        <v>26.724</v>
      </c>
      <c r="AN422">
        <v>25.067</v>
      </c>
      <c r="AO422">
        <v>33.603000000000002</v>
      </c>
      <c r="AP422">
        <v>34.609000000000002</v>
      </c>
      <c r="AQ422">
        <v>25.683</v>
      </c>
      <c r="AR422">
        <v>25.38</v>
      </c>
      <c r="AS422">
        <v>26.550999999999998</v>
      </c>
      <c r="AT422">
        <v>27.21</v>
      </c>
      <c r="AU422">
        <v>27.047000000000001</v>
      </c>
      <c r="AV422">
        <v>26.709</v>
      </c>
      <c r="AW422">
        <v>26.611999999999998</v>
      </c>
    </row>
    <row r="423" spans="1:49" x14ac:dyDescent="0.35">
      <c r="A423" t="s">
        <v>184</v>
      </c>
      <c r="B423" t="s">
        <v>71</v>
      </c>
      <c r="C423" t="s">
        <v>72</v>
      </c>
      <c r="D423" t="s">
        <v>70</v>
      </c>
      <c r="F423" t="s">
        <v>185</v>
      </c>
      <c r="G423" t="s">
        <v>82</v>
      </c>
      <c r="H423" t="s">
        <v>82</v>
      </c>
      <c r="I423" t="s">
        <v>82</v>
      </c>
      <c r="J423" t="s">
        <v>82</v>
      </c>
      <c r="K423" t="s">
        <v>82</v>
      </c>
      <c r="L423" t="s">
        <v>82</v>
      </c>
      <c r="M423" t="s">
        <v>82</v>
      </c>
      <c r="N423" t="s">
        <v>82</v>
      </c>
      <c r="O423" t="s">
        <v>82</v>
      </c>
      <c r="P423">
        <v>32.326000000000001</v>
      </c>
      <c r="Q423">
        <v>28.818000000000001</v>
      </c>
      <c r="R423">
        <v>20.026</v>
      </c>
      <c r="S423">
        <v>22.221</v>
      </c>
      <c r="T423">
        <v>19.423999999999999</v>
      </c>
      <c r="U423">
        <v>23.358000000000001</v>
      </c>
      <c r="V423">
        <v>26.658000000000001</v>
      </c>
      <c r="W423">
        <v>26.623999999999999</v>
      </c>
      <c r="X423">
        <v>21.835999999999999</v>
      </c>
      <c r="Y423">
        <v>29.728000000000002</v>
      </c>
      <c r="Z423">
        <v>25.093</v>
      </c>
      <c r="AA423">
        <v>24.972000000000001</v>
      </c>
      <c r="AB423">
        <v>23.998999999999999</v>
      </c>
      <c r="AC423">
        <v>21.934000000000001</v>
      </c>
      <c r="AD423">
        <v>25.452000000000002</v>
      </c>
      <c r="AE423">
        <v>26.045000000000002</v>
      </c>
      <c r="AF423">
        <v>24.434999999999999</v>
      </c>
      <c r="AG423">
        <v>36.100999999999999</v>
      </c>
      <c r="AH423">
        <v>32.997</v>
      </c>
      <c r="AI423">
        <v>32.185000000000002</v>
      </c>
      <c r="AJ423">
        <v>23.23</v>
      </c>
      <c r="AK423">
        <v>19.414999999999999</v>
      </c>
      <c r="AL423">
        <v>15.867000000000001</v>
      </c>
      <c r="AM423">
        <v>19.925999999999998</v>
      </c>
      <c r="AN423">
        <v>17.227</v>
      </c>
      <c r="AO423">
        <v>24.097000000000001</v>
      </c>
      <c r="AP423">
        <v>20.861000000000001</v>
      </c>
      <c r="AQ423">
        <v>11.646000000000001</v>
      </c>
      <c r="AR423">
        <v>18.047000000000001</v>
      </c>
      <c r="AS423">
        <v>19.97</v>
      </c>
      <c r="AT423">
        <v>20.937999999999999</v>
      </c>
      <c r="AU423">
        <v>20.992000000000001</v>
      </c>
      <c r="AV423">
        <v>20.649000000000001</v>
      </c>
      <c r="AW423">
        <v>20.587</v>
      </c>
    </row>
    <row r="424" spans="1:49" x14ac:dyDescent="0.35">
      <c r="A424" t="s">
        <v>184</v>
      </c>
      <c r="B424" t="s">
        <v>73</v>
      </c>
      <c r="C424" t="s">
        <v>74</v>
      </c>
      <c r="D424" t="s">
        <v>47</v>
      </c>
      <c r="F424" t="s">
        <v>186</v>
      </c>
      <c r="G424" t="s">
        <v>82</v>
      </c>
      <c r="H424" t="s">
        <v>82</v>
      </c>
      <c r="I424" t="s">
        <v>82</v>
      </c>
      <c r="J424" t="s">
        <v>82</v>
      </c>
      <c r="K424" t="s">
        <v>82</v>
      </c>
      <c r="L424" t="s">
        <v>82</v>
      </c>
      <c r="M424" t="s">
        <v>82</v>
      </c>
      <c r="N424" t="s">
        <v>82</v>
      </c>
      <c r="O424" t="s">
        <v>82</v>
      </c>
      <c r="P424" t="s">
        <v>82</v>
      </c>
      <c r="Q424">
        <v>15.23</v>
      </c>
      <c r="R424">
        <v>17.288</v>
      </c>
      <c r="S424">
        <v>21.013999999999999</v>
      </c>
      <c r="T424">
        <v>22.974</v>
      </c>
      <c r="U424">
        <v>25.744</v>
      </c>
      <c r="V424">
        <v>28.606999999999999</v>
      </c>
      <c r="W424">
        <v>31.097000000000001</v>
      </c>
      <c r="X424">
        <v>34.106999999999999</v>
      </c>
      <c r="Y424">
        <v>36.363999999999997</v>
      </c>
      <c r="Z424">
        <v>39.774999999999999</v>
      </c>
      <c r="AA424">
        <v>43.838000000000001</v>
      </c>
      <c r="AB424">
        <v>48.314999999999998</v>
      </c>
      <c r="AC424">
        <v>54.459000000000003</v>
      </c>
      <c r="AD424">
        <v>58.389000000000003</v>
      </c>
      <c r="AE424">
        <v>60.804000000000002</v>
      </c>
      <c r="AF424">
        <v>62.191000000000003</v>
      </c>
      <c r="AG424">
        <v>65.277000000000001</v>
      </c>
      <c r="AH424">
        <v>69.551000000000002</v>
      </c>
      <c r="AI424">
        <v>75.876000000000005</v>
      </c>
      <c r="AJ424">
        <v>83.048000000000002</v>
      </c>
      <c r="AK424">
        <v>87.096999999999994</v>
      </c>
      <c r="AL424">
        <v>91.456000000000003</v>
      </c>
      <c r="AM424">
        <v>97.603999999999999</v>
      </c>
      <c r="AN424">
        <v>103.071</v>
      </c>
      <c r="AO424">
        <v>108.583</v>
      </c>
      <c r="AP424">
        <v>112.271</v>
      </c>
      <c r="AQ424">
        <v>119.82299999999999</v>
      </c>
      <c r="AR424">
        <v>127.01300000000001</v>
      </c>
      <c r="AS424">
        <v>134.316</v>
      </c>
      <c r="AT424">
        <v>142.03899999999999</v>
      </c>
      <c r="AU424">
        <v>150.20599999999999</v>
      </c>
      <c r="AV424">
        <v>158.84299999999999</v>
      </c>
      <c r="AW424">
        <v>167.976</v>
      </c>
    </row>
    <row r="425" spans="1:49" x14ac:dyDescent="0.35">
      <c r="A425" t="s">
        <v>184</v>
      </c>
      <c r="B425" t="s">
        <v>73</v>
      </c>
      <c r="C425" t="s">
        <v>76</v>
      </c>
      <c r="D425" t="s">
        <v>35</v>
      </c>
      <c r="F425" t="s">
        <v>77</v>
      </c>
      <c r="G425" t="s">
        <v>82</v>
      </c>
      <c r="H425" t="s">
        <v>82</v>
      </c>
      <c r="I425" t="s">
        <v>82</v>
      </c>
      <c r="J425" t="s">
        <v>82</v>
      </c>
      <c r="K425" t="s">
        <v>82</v>
      </c>
      <c r="L425" t="s">
        <v>82</v>
      </c>
      <c r="M425" t="s">
        <v>82</v>
      </c>
      <c r="N425" t="s">
        <v>82</v>
      </c>
      <c r="O425" t="s">
        <v>82</v>
      </c>
      <c r="P425" t="s">
        <v>82</v>
      </c>
      <c r="Q425" t="s">
        <v>82</v>
      </c>
      <c r="R425">
        <v>13.512</v>
      </c>
      <c r="S425">
        <v>21.550999999999998</v>
      </c>
      <c r="T425">
        <v>9.3290000000000006</v>
      </c>
      <c r="U425">
        <v>12.055999999999999</v>
      </c>
      <c r="V425">
        <v>11.122999999999999</v>
      </c>
      <c r="W425">
        <v>8.7040000000000006</v>
      </c>
      <c r="X425">
        <v>9.6790000000000003</v>
      </c>
      <c r="Y425">
        <v>6.617</v>
      </c>
      <c r="Z425">
        <v>9.3819999999999997</v>
      </c>
      <c r="AA425">
        <v>10.215</v>
      </c>
      <c r="AB425">
        <v>10.212</v>
      </c>
      <c r="AC425">
        <v>12.715999999999999</v>
      </c>
      <c r="AD425">
        <v>7.2149999999999999</v>
      </c>
      <c r="AE425">
        <v>4.1369999999999996</v>
      </c>
      <c r="AF425">
        <v>2.282</v>
      </c>
      <c r="AG425">
        <v>4.9610000000000003</v>
      </c>
      <c r="AH425">
        <v>6.548</v>
      </c>
      <c r="AI425">
        <v>9.0950000000000006</v>
      </c>
      <c r="AJ425">
        <v>9.452</v>
      </c>
      <c r="AK425">
        <v>4.875</v>
      </c>
      <c r="AL425">
        <v>5.0060000000000002</v>
      </c>
      <c r="AM425">
        <v>6.7220000000000004</v>
      </c>
      <c r="AN425">
        <v>5.601</v>
      </c>
      <c r="AO425">
        <v>5.3479999999999999</v>
      </c>
      <c r="AP425">
        <v>3.3959999999999999</v>
      </c>
      <c r="AQ425">
        <v>6.7270000000000003</v>
      </c>
      <c r="AR425">
        <v>6</v>
      </c>
      <c r="AS425">
        <v>5.75</v>
      </c>
      <c r="AT425">
        <v>5.75</v>
      </c>
      <c r="AU425">
        <v>5.75</v>
      </c>
      <c r="AV425">
        <v>5.75</v>
      </c>
      <c r="AW425">
        <v>5.75</v>
      </c>
    </row>
    <row r="426" spans="1:49" x14ac:dyDescent="0.35">
      <c r="A426" t="s">
        <v>184</v>
      </c>
      <c r="B426" t="s">
        <v>78</v>
      </c>
      <c r="C426" t="s">
        <v>79</v>
      </c>
      <c r="D426" t="s">
        <v>47</v>
      </c>
      <c r="F426" t="s">
        <v>186</v>
      </c>
      <c r="G426" t="s">
        <v>82</v>
      </c>
      <c r="H426" t="s">
        <v>82</v>
      </c>
      <c r="I426" t="s">
        <v>82</v>
      </c>
      <c r="J426" t="s">
        <v>82</v>
      </c>
      <c r="K426" t="s">
        <v>82</v>
      </c>
      <c r="L426" t="s">
        <v>82</v>
      </c>
      <c r="M426" t="s">
        <v>82</v>
      </c>
      <c r="N426" t="s">
        <v>82</v>
      </c>
      <c r="O426" t="s">
        <v>82</v>
      </c>
      <c r="P426" t="s">
        <v>82</v>
      </c>
      <c r="Q426">
        <v>15.808</v>
      </c>
      <c r="R426">
        <v>19.300999999999998</v>
      </c>
      <c r="S426">
        <v>21.641999999999999</v>
      </c>
      <c r="T426">
        <v>23.977</v>
      </c>
      <c r="U426">
        <v>27.02</v>
      </c>
      <c r="V426">
        <v>29.341999999999999</v>
      </c>
      <c r="W426">
        <v>32.048999999999999</v>
      </c>
      <c r="X426">
        <v>34.414000000000001</v>
      </c>
      <c r="Y426">
        <v>37.677999999999997</v>
      </c>
      <c r="Z426">
        <v>40.905000000000001</v>
      </c>
      <c r="AA426">
        <v>45.85</v>
      </c>
      <c r="AB426">
        <v>49.997</v>
      </c>
      <c r="AC426">
        <v>57.122999999999998</v>
      </c>
      <c r="AD426">
        <v>58.594999999999999</v>
      </c>
      <c r="AE426">
        <v>61.075000000000003</v>
      </c>
      <c r="AF426">
        <v>63.265000000000001</v>
      </c>
      <c r="AG426">
        <v>67.081999999999994</v>
      </c>
      <c r="AH426">
        <v>70.787000000000006</v>
      </c>
      <c r="AI426">
        <v>78.69</v>
      </c>
      <c r="AJ426">
        <v>84.927000000000007</v>
      </c>
      <c r="AK426">
        <v>87.525999999999996</v>
      </c>
      <c r="AL426">
        <v>94</v>
      </c>
      <c r="AM426">
        <v>100</v>
      </c>
      <c r="AN426">
        <v>104.89400000000001</v>
      </c>
      <c r="AO426">
        <v>109.754</v>
      </c>
      <c r="AP426">
        <v>113.81100000000001</v>
      </c>
      <c r="AQ426">
        <v>122.117</v>
      </c>
      <c r="AR426">
        <v>129.44399999999999</v>
      </c>
      <c r="AS426">
        <v>136.887</v>
      </c>
      <c r="AT426">
        <v>144.75800000000001</v>
      </c>
      <c r="AU426">
        <v>153.08099999999999</v>
      </c>
      <c r="AV426">
        <v>161.88300000000001</v>
      </c>
      <c r="AW426">
        <v>171.19200000000001</v>
      </c>
    </row>
    <row r="427" spans="1:49" x14ac:dyDescent="0.35">
      <c r="A427" t="s">
        <v>184</v>
      </c>
      <c r="B427" t="s">
        <v>78</v>
      </c>
      <c r="C427" t="s">
        <v>80</v>
      </c>
      <c r="D427" t="s">
        <v>35</v>
      </c>
      <c r="F427" t="s">
        <v>81</v>
      </c>
      <c r="G427" t="s">
        <v>82</v>
      </c>
      <c r="H427" t="s">
        <v>82</v>
      </c>
      <c r="I427" t="s">
        <v>82</v>
      </c>
      <c r="J427" t="s">
        <v>82</v>
      </c>
      <c r="K427" t="s">
        <v>82</v>
      </c>
      <c r="L427" t="s">
        <v>82</v>
      </c>
      <c r="M427" t="s">
        <v>82</v>
      </c>
      <c r="N427" t="s">
        <v>82</v>
      </c>
      <c r="O427" t="s">
        <v>82</v>
      </c>
      <c r="P427" t="s">
        <v>82</v>
      </c>
      <c r="Q427" t="s">
        <v>82</v>
      </c>
      <c r="R427">
        <v>22.099</v>
      </c>
      <c r="S427">
        <v>12.127000000000001</v>
      </c>
      <c r="T427">
        <v>10.791</v>
      </c>
      <c r="U427">
        <v>12.693</v>
      </c>
      <c r="V427">
        <v>8.5909999999999993</v>
      </c>
      <c r="W427">
        <v>9.2270000000000003</v>
      </c>
      <c r="X427">
        <v>7.38</v>
      </c>
      <c r="Y427">
        <v>9.4849999999999994</v>
      </c>
      <c r="Z427">
        <v>8.5640000000000001</v>
      </c>
      <c r="AA427">
        <v>12.09</v>
      </c>
      <c r="AB427">
        <v>9.0440000000000005</v>
      </c>
      <c r="AC427">
        <v>14.254</v>
      </c>
      <c r="AD427">
        <v>2.5760000000000001</v>
      </c>
      <c r="AE427">
        <v>4.2329999999999997</v>
      </c>
      <c r="AF427">
        <v>3.585</v>
      </c>
      <c r="AG427">
        <v>6.0330000000000004</v>
      </c>
      <c r="AH427">
        <v>5.5229999999999997</v>
      </c>
      <c r="AI427">
        <v>11.164999999999999</v>
      </c>
      <c r="AJ427">
        <v>7.9260000000000002</v>
      </c>
      <c r="AK427">
        <v>3.06</v>
      </c>
      <c r="AL427">
        <v>7.3970000000000002</v>
      </c>
      <c r="AM427">
        <v>6.383</v>
      </c>
      <c r="AN427">
        <v>4.8940000000000001</v>
      </c>
      <c r="AO427">
        <v>4.6340000000000003</v>
      </c>
      <c r="AP427">
        <v>3.6960000000000002</v>
      </c>
      <c r="AQ427">
        <v>7.298</v>
      </c>
      <c r="AR427">
        <v>6</v>
      </c>
      <c r="AS427">
        <v>5.75</v>
      </c>
      <c r="AT427">
        <v>5.75</v>
      </c>
      <c r="AU427">
        <v>5.75</v>
      </c>
      <c r="AV427">
        <v>5.75</v>
      </c>
      <c r="AW427">
        <v>5.75</v>
      </c>
    </row>
    <row r="428" spans="1:49" x14ac:dyDescent="0.35">
      <c r="A428" t="s">
        <v>184</v>
      </c>
      <c r="B428" t="s">
        <v>83</v>
      </c>
      <c r="D428" t="s">
        <v>64</v>
      </c>
    </row>
    <row r="429" spans="1:49" x14ac:dyDescent="0.35">
      <c r="A429" t="s">
        <v>184</v>
      </c>
      <c r="B429" t="s">
        <v>84</v>
      </c>
      <c r="C429" t="s">
        <v>85</v>
      </c>
      <c r="D429" t="s">
        <v>35</v>
      </c>
      <c r="F429" t="s">
        <v>187</v>
      </c>
      <c r="G429" t="s">
        <v>82</v>
      </c>
      <c r="H429" t="s">
        <v>82</v>
      </c>
      <c r="I429" t="s">
        <v>82</v>
      </c>
      <c r="J429" t="s">
        <v>82</v>
      </c>
      <c r="K429" t="s">
        <v>82</v>
      </c>
      <c r="L429" t="s">
        <v>82</v>
      </c>
      <c r="M429" t="s">
        <v>82</v>
      </c>
      <c r="N429" t="s">
        <v>82</v>
      </c>
      <c r="O429" t="s">
        <v>82</v>
      </c>
      <c r="P429" t="s">
        <v>82</v>
      </c>
      <c r="Q429">
        <v>-1.6719999999999999</v>
      </c>
      <c r="R429">
        <v>3.5</v>
      </c>
      <c r="S429">
        <v>5.4109999999999996</v>
      </c>
      <c r="T429">
        <v>-1.008</v>
      </c>
      <c r="U429">
        <v>3.7370000000000001</v>
      </c>
      <c r="V429">
        <v>9.17</v>
      </c>
      <c r="W429">
        <v>15.7</v>
      </c>
      <c r="X429">
        <v>3.4569999999999999</v>
      </c>
      <c r="Y429">
        <v>7.6020000000000003</v>
      </c>
      <c r="Z429">
        <v>1.3979999999999999</v>
      </c>
      <c r="AA429">
        <v>-5.2069999999999999</v>
      </c>
      <c r="AB429">
        <v>3.9580000000000002</v>
      </c>
      <c r="AC429">
        <v>20.678999999999998</v>
      </c>
      <c r="AD429">
        <v>5.2290000000000001</v>
      </c>
      <c r="AE429">
        <v>6.6319999999999997</v>
      </c>
      <c r="AF429">
        <v>5.1790000000000003</v>
      </c>
      <c r="AG429">
        <v>5.0490000000000004</v>
      </c>
      <c r="AH429">
        <v>13.749000000000001</v>
      </c>
      <c r="AI429">
        <v>17.488</v>
      </c>
      <c r="AJ429">
        <v>33.546999999999997</v>
      </c>
      <c r="AK429">
        <v>8.3439999999999994</v>
      </c>
      <c r="AL429">
        <v>-2.2639999999999998</v>
      </c>
      <c r="AM429">
        <v>15.976000000000001</v>
      </c>
      <c r="AN429">
        <v>-4.4610000000000003</v>
      </c>
      <c r="AO429">
        <v>10.031000000000001</v>
      </c>
      <c r="AP429">
        <v>-1.6819999999999999</v>
      </c>
      <c r="AQ429">
        <v>-9.6310000000000002</v>
      </c>
      <c r="AR429">
        <v>5.0090000000000003</v>
      </c>
      <c r="AS429">
        <v>4.952</v>
      </c>
      <c r="AT429">
        <v>5.234</v>
      </c>
      <c r="AU429">
        <v>3.77</v>
      </c>
      <c r="AV429">
        <v>3.9780000000000002</v>
      </c>
      <c r="AW429">
        <v>3.6539999999999999</v>
      </c>
    </row>
    <row r="430" spans="1:49" x14ac:dyDescent="0.35">
      <c r="A430" t="s">
        <v>184</v>
      </c>
      <c r="B430" t="s">
        <v>87</v>
      </c>
      <c r="C430" t="s">
        <v>88</v>
      </c>
      <c r="D430" t="s">
        <v>35</v>
      </c>
      <c r="F430" t="s">
        <v>187</v>
      </c>
      <c r="G430" t="s">
        <v>82</v>
      </c>
      <c r="H430" t="s">
        <v>82</v>
      </c>
      <c r="I430" t="s">
        <v>82</v>
      </c>
      <c r="J430" t="s">
        <v>82</v>
      </c>
      <c r="K430" t="s">
        <v>82</v>
      </c>
      <c r="L430" t="s">
        <v>82</v>
      </c>
      <c r="M430" t="s">
        <v>82</v>
      </c>
      <c r="N430" t="s">
        <v>82</v>
      </c>
      <c r="O430" t="s">
        <v>82</v>
      </c>
      <c r="P430" t="s">
        <v>82</v>
      </c>
      <c r="Q430">
        <v>-1.6719999999999999</v>
      </c>
      <c r="R430">
        <v>3.5</v>
      </c>
      <c r="S430">
        <v>5.4109999999999996</v>
      </c>
      <c r="T430">
        <v>-1.008</v>
      </c>
      <c r="U430">
        <v>3.7370000000000001</v>
      </c>
      <c r="V430">
        <v>9.17</v>
      </c>
      <c r="W430">
        <v>15.7</v>
      </c>
      <c r="X430">
        <v>3.4569999999999999</v>
      </c>
      <c r="Y430">
        <v>7.6020000000000003</v>
      </c>
      <c r="Z430">
        <v>1.3979999999999999</v>
      </c>
      <c r="AA430">
        <v>-5.2069999999999999</v>
      </c>
      <c r="AB430">
        <v>3.9580000000000002</v>
      </c>
      <c r="AC430">
        <v>20.678999999999998</v>
      </c>
      <c r="AD430">
        <v>5.2290000000000001</v>
      </c>
      <c r="AE430">
        <v>6.6319999999999997</v>
      </c>
      <c r="AF430">
        <v>5.1790000000000003</v>
      </c>
      <c r="AG430">
        <v>5.0490000000000004</v>
      </c>
      <c r="AH430">
        <v>13.749000000000001</v>
      </c>
      <c r="AI430">
        <v>17.488</v>
      </c>
      <c r="AJ430">
        <v>33.546999999999997</v>
      </c>
      <c r="AK430">
        <v>8.3439999999999994</v>
      </c>
      <c r="AL430">
        <v>-2.2639999999999998</v>
      </c>
      <c r="AM430">
        <v>15.976000000000001</v>
      </c>
      <c r="AN430">
        <v>-4.4610000000000003</v>
      </c>
      <c r="AO430">
        <v>10.031000000000001</v>
      </c>
      <c r="AP430">
        <v>-1.6819999999999999</v>
      </c>
      <c r="AQ430">
        <v>-9.6310000000000002</v>
      </c>
      <c r="AR430">
        <v>5.0229999999999997</v>
      </c>
      <c r="AS430">
        <v>4.5810000000000004</v>
      </c>
      <c r="AT430">
        <v>4.8449999999999998</v>
      </c>
      <c r="AU430">
        <v>3.7829999999999999</v>
      </c>
      <c r="AV430">
        <v>4.3879999999999999</v>
      </c>
      <c r="AW430">
        <v>4.0209999999999999</v>
      </c>
    </row>
    <row r="431" spans="1:49" x14ac:dyDescent="0.35">
      <c r="A431" t="s">
        <v>184</v>
      </c>
      <c r="B431" t="s">
        <v>89</v>
      </c>
      <c r="C431" t="s">
        <v>90</v>
      </c>
      <c r="D431" t="s">
        <v>35</v>
      </c>
      <c r="F431" t="s">
        <v>187</v>
      </c>
      <c r="G431" t="s">
        <v>82</v>
      </c>
      <c r="H431" t="s">
        <v>82</v>
      </c>
      <c r="I431" t="s">
        <v>82</v>
      </c>
      <c r="J431" t="s">
        <v>82</v>
      </c>
      <c r="K431" t="s">
        <v>82</v>
      </c>
      <c r="L431" t="s">
        <v>82</v>
      </c>
      <c r="M431" t="s">
        <v>82</v>
      </c>
      <c r="N431" t="s">
        <v>82</v>
      </c>
      <c r="O431" t="s">
        <v>82</v>
      </c>
      <c r="P431" t="s">
        <v>82</v>
      </c>
      <c r="Q431">
        <v>-11.032</v>
      </c>
      <c r="R431">
        <v>28.8</v>
      </c>
      <c r="S431">
        <v>6.3659999999999997</v>
      </c>
      <c r="T431">
        <v>10.657</v>
      </c>
      <c r="U431">
        <v>-3.3860000000000001</v>
      </c>
      <c r="V431">
        <v>9.5289999999999999</v>
      </c>
      <c r="W431">
        <v>2.8</v>
      </c>
      <c r="X431">
        <v>-2.7240000000000002</v>
      </c>
      <c r="Y431">
        <v>-0.7</v>
      </c>
      <c r="Z431">
        <v>4.431</v>
      </c>
      <c r="AA431">
        <v>-0.86799999999999999</v>
      </c>
      <c r="AB431">
        <v>-4.4749999999999996</v>
      </c>
      <c r="AC431">
        <v>-2.331</v>
      </c>
      <c r="AD431">
        <v>6.3250000000000002</v>
      </c>
      <c r="AE431">
        <v>27.4</v>
      </c>
      <c r="AF431">
        <v>-1.1970000000000001</v>
      </c>
      <c r="AG431">
        <v>17.564</v>
      </c>
      <c r="AH431">
        <v>0.92800000000000005</v>
      </c>
      <c r="AI431">
        <v>19.812000000000001</v>
      </c>
      <c r="AJ431">
        <v>-6.8070000000000004</v>
      </c>
      <c r="AK431">
        <v>8.1690000000000005</v>
      </c>
      <c r="AL431">
        <v>-9.4320000000000004</v>
      </c>
      <c r="AM431">
        <v>4.016</v>
      </c>
      <c r="AN431">
        <v>-11.994</v>
      </c>
      <c r="AO431">
        <v>-3.9990000000000001</v>
      </c>
      <c r="AP431">
        <v>-4.5199999999999996</v>
      </c>
      <c r="AQ431">
        <v>13.702</v>
      </c>
      <c r="AR431">
        <v>16.445</v>
      </c>
      <c r="AS431">
        <v>8.8170000000000002</v>
      </c>
      <c r="AT431">
        <v>8.2059999999999995</v>
      </c>
      <c r="AU431">
        <v>4.3079999999999998</v>
      </c>
      <c r="AV431">
        <v>4.181</v>
      </c>
      <c r="AW431">
        <v>4.1529999999999996</v>
      </c>
    </row>
    <row r="432" spans="1:49" x14ac:dyDescent="0.35">
      <c r="A432" t="s">
        <v>184</v>
      </c>
      <c r="B432" t="s">
        <v>91</v>
      </c>
      <c r="C432" t="s">
        <v>92</v>
      </c>
      <c r="D432" t="s">
        <v>35</v>
      </c>
      <c r="F432" t="s">
        <v>187</v>
      </c>
      <c r="G432" t="s">
        <v>82</v>
      </c>
      <c r="H432" t="s">
        <v>82</v>
      </c>
      <c r="I432" t="s">
        <v>82</v>
      </c>
      <c r="J432" t="s">
        <v>82</v>
      </c>
      <c r="K432" t="s">
        <v>82</v>
      </c>
      <c r="L432" t="s">
        <v>82</v>
      </c>
      <c r="M432" t="s">
        <v>82</v>
      </c>
      <c r="N432" t="s">
        <v>82</v>
      </c>
      <c r="O432" t="s">
        <v>82</v>
      </c>
      <c r="P432" t="s">
        <v>82</v>
      </c>
      <c r="Q432">
        <v>-11.032</v>
      </c>
      <c r="R432">
        <v>28.8</v>
      </c>
      <c r="S432">
        <v>6.3659999999999997</v>
      </c>
      <c r="T432">
        <v>10.657</v>
      </c>
      <c r="U432">
        <v>-3.3860000000000001</v>
      </c>
      <c r="V432">
        <v>9.5289999999999999</v>
      </c>
      <c r="W432">
        <v>2.8</v>
      </c>
      <c r="X432">
        <v>-2.7240000000000002</v>
      </c>
      <c r="Y432">
        <v>-0.7</v>
      </c>
      <c r="Z432">
        <v>4.431</v>
      </c>
      <c r="AA432">
        <v>-0.86799999999999999</v>
      </c>
      <c r="AB432">
        <v>-4.4749999999999996</v>
      </c>
      <c r="AC432">
        <v>-2.331</v>
      </c>
      <c r="AD432">
        <v>6.3250000000000002</v>
      </c>
      <c r="AE432">
        <v>27.4</v>
      </c>
      <c r="AF432">
        <v>-1.1970000000000001</v>
      </c>
      <c r="AG432">
        <v>17.564</v>
      </c>
      <c r="AH432">
        <v>0.92800000000000005</v>
      </c>
      <c r="AI432">
        <v>19.812000000000001</v>
      </c>
      <c r="AJ432">
        <v>-6.8070000000000004</v>
      </c>
      <c r="AK432">
        <v>8.1690000000000005</v>
      </c>
      <c r="AL432">
        <v>-9.4320000000000004</v>
      </c>
      <c r="AM432">
        <v>4.016</v>
      </c>
      <c r="AN432">
        <v>-11.994</v>
      </c>
      <c r="AO432">
        <v>-3.9990000000000001</v>
      </c>
      <c r="AP432">
        <v>-4.5199999999999996</v>
      </c>
      <c r="AQ432">
        <v>13.702</v>
      </c>
      <c r="AR432">
        <v>17.968</v>
      </c>
      <c r="AS432">
        <v>9.6560000000000006</v>
      </c>
      <c r="AT432">
        <v>8.7739999999999991</v>
      </c>
      <c r="AU432">
        <v>4.1070000000000002</v>
      </c>
      <c r="AV432">
        <v>3.9529999999999998</v>
      </c>
      <c r="AW432">
        <v>3.996</v>
      </c>
    </row>
    <row r="433" spans="1:49" x14ac:dyDescent="0.35">
      <c r="A433" t="s">
        <v>184</v>
      </c>
      <c r="B433" t="s">
        <v>93</v>
      </c>
      <c r="C433" t="s">
        <v>94</v>
      </c>
      <c r="D433" t="s">
        <v>95</v>
      </c>
    </row>
    <row r="434" spans="1:49" x14ac:dyDescent="0.35">
      <c r="A434" t="s">
        <v>184</v>
      </c>
      <c r="B434" t="s">
        <v>96</v>
      </c>
      <c r="C434" t="s">
        <v>97</v>
      </c>
      <c r="D434" t="s">
        <v>98</v>
      </c>
      <c r="E434" t="s">
        <v>99</v>
      </c>
    </row>
    <row r="435" spans="1:49" x14ac:dyDescent="0.35">
      <c r="A435" t="s">
        <v>184</v>
      </c>
      <c r="B435" t="s">
        <v>100</v>
      </c>
      <c r="C435" t="s">
        <v>101</v>
      </c>
      <c r="D435" t="s">
        <v>98</v>
      </c>
      <c r="E435" t="s">
        <v>99</v>
      </c>
      <c r="F435" t="s">
        <v>188</v>
      </c>
      <c r="G435" t="s">
        <v>82</v>
      </c>
      <c r="H435" t="s">
        <v>82</v>
      </c>
      <c r="I435" t="s">
        <v>82</v>
      </c>
      <c r="J435" t="s">
        <v>82</v>
      </c>
      <c r="K435" t="s">
        <v>82</v>
      </c>
      <c r="L435" t="s">
        <v>82</v>
      </c>
      <c r="M435" t="s">
        <v>82</v>
      </c>
      <c r="N435" t="s">
        <v>82</v>
      </c>
      <c r="O435" t="s">
        <v>82</v>
      </c>
      <c r="P435" t="s">
        <v>82</v>
      </c>
      <c r="Q435">
        <v>1.345</v>
      </c>
      <c r="R435">
        <v>1.403</v>
      </c>
      <c r="S435">
        <v>1.4550000000000001</v>
      </c>
      <c r="T435">
        <v>1.504</v>
      </c>
      <c r="U435">
        <v>1.5489999999999999</v>
      </c>
      <c r="V435">
        <v>1.5940000000000001</v>
      </c>
      <c r="W435">
        <v>1.643</v>
      </c>
      <c r="X435">
        <v>1.696</v>
      </c>
      <c r="Y435">
        <v>1.75</v>
      </c>
      <c r="Z435">
        <v>1.8049999999999999</v>
      </c>
      <c r="AA435">
        <v>1.8280000000000001</v>
      </c>
      <c r="AB435">
        <v>1.83</v>
      </c>
      <c r="AC435">
        <v>1.86</v>
      </c>
      <c r="AD435">
        <v>1.891</v>
      </c>
      <c r="AE435">
        <v>1.923</v>
      </c>
      <c r="AF435">
        <v>1.9570000000000001</v>
      </c>
      <c r="AG435">
        <v>1.992</v>
      </c>
      <c r="AH435">
        <v>1.994</v>
      </c>
      <c r="AI435">
        <v>2.024</v>
      </c>
      <c r="AJ435">
        <v>2.0539999999999998</v>
      </c>
      <c r="AK435">
        <v>2.085</v>
      </c>
      <c r="AL435">
        <v>2.1160000000000001</v>
      </c>
      <c r="AM435">
        <v>2.1549999999999998</v>
      </c>
      <c r="AN435">
        <v>2.1960000000000002</v>
      </c>
      <c r="AO435">
        <v>2.238</v>
      </c>
      <c r="AP435">
        <v>2.2810000000000001</v>
      </c>
      <c r="AQ435">
        <v>2.3239999999999998</v>
      </c>
      <c r="AR435">
        <v>2.3439999999999999</v>
      </c>
      <c r="AS435">
        <v>2.363</v>
      </c>
      <c r="AT435">
        <v>2.383</v>
      </c>
      <c r="AU435">
        <v>2.403</v>
      </c>
      <c r="AV435">
        <v>2.4220000000000002</v>
      </c>
      <c r="AW435">
        <v>2.4430000000000001</v>
      </c>
    </row>
    <row r="436" spans="1:49" x14ac:dyDescent="0.35">
      <c r="A436" t="s">
        <v>184</v>
      </c>
      <c r="B436" t="s">
        <v>103</v>
      </c>
      <c r="C436" t="s">
        <v>104</v>
      </c>
      <c r="D436" t="s">
        <v>31</v>
      </c>
      <c r="E436" t="s">
        <v>32</v>
      </c>
      <c r="F436" t="s">
        <v>189</v>
      </c>
      <c r="G436" t="s">
        <v>82</v>
      </c>
      <c r="H436" t="s">
        <v>82</v>
      </c>
      <c r="I436" t="s">
        <v>82</v>
      </c>
      <c r="J436" t="s">
        <v>82</v>
      </c>
      <c r="K436" t="s">
        <v>82</v>
      </c>
      <c r="L436" t="s">
        <v>82</v>
      </c>
      <c r="M436" t="s">
        <v>82</v>
      </c>
      <c r="N436" t="s">
        <v>82</v>
      </c>
      <c r="O436" t="s">
        <v>82</v>
      </c>
      <c r="P436" t="s">
        <v>82</v>
      </c>
      <c r="Q436">
        <v>2.0659999999999998</v>
      </c>
      <c r="R436">
        <v>2.448</v>
      </c>
      <c r="S436">
        <v>2.8239999999999998</v>
      </c>
      <c r="T436">
        <v>3.044</v>
      </c>
      <c r="U436">
        <v>3.5089999999999999</v>
      </c>
      <c r="V436">
        <v>3.9660000000000002</v>
      </c>
      <c r="W436">
        <v>4.51</v>
      </c>
      <c r="X436">
        <v>5.3680000000000003</v>
      </c>
      <c r="Y436">
        <v>6</v>
      </c>
      <c r="Z436">
        <v>6.9539999999999997</v>
      </c>
      <c r="AA436">
        <v>7.9640000000000004</v>
      </c>
      <c r="AB436">
        <v>8.7720000000000002</v>
      </c>
      <c r="AC436">
        <v>10.092000000000001</v>
      </c>
      <c r="AD436">
        <v>9.9329999999999998</v>
      </c>
      <c r="AE436">
        <v>10.978999999999999</v>
      </c>
      <c r="AF436">
        <v>12.653</v>
      </c>
      <c r="AG436">
        <v>15.938000000000001</v>
      </c>
      <c r="AH436">
        <v>19.728000000000002</v>
      </c>
      <c r="AI436">
        <v>22.753</v>
      </c>
      <c r="AJ436">
        <v>23.873999999999999</v>
      </c>
      <c r="AK436">
        <v>23.538</v>
      </c>
      <c r="AL436">
        <v>28.282</v>
      </c>
      <c r="AM436">
        <v>34.921999999999997</v>
      </c>
      <c r="AN436">
        <v>40.914000000000001</v>
      </c>
      <c r="AO436">
        <v>48.052</v>
      </c>
      <c r="AP436">
        <v>51.637999999999998</v>
      </c>
      <c r="AQ436">
        <v>50.575000000000003</v>
      </c>
      <c r="AR436">
        <v>56.496000000000002</v>
      </c>
      <c r="AS436">
        <v>60.293999999999997</v>
      </c>
      <c r="AT436">
        <v>64.849000000000004</v>
      </c>
      <c r="AU436">
        <v>70.725999999999999</v>
      </c>
      <c r="AV436">
        <v>77.216999999999999</v>
      </c>
      <c r="AW436">
        <v>84.093000000000004</v>
      </c>
    </row>
    <row r="437" spans="1:49" x14ac:dyDescent="0.35">
      <c r="A437" t="s">
        <v>184</v>
      </c>
      <c r="B437" t="s">
        <v>103</v>
      </c>
      <c r="C437" t="s">
        <v>104</v>
      </c>
      <c r="D437" t="s">
        <v>70</v>
      </c>
      <c r="F437" t="s">
        <v>106</v>
      </c>
      <c r="G437" t="s">
        <v>82</v>
      </c>
      <c r="H437" t="s">
        <v>82</v>
      </c>
      <c r="I437" t="s">
        <v>82</v>
      </c>
      <c r="J437" t="s">
        <v>82</v>
      </c>
      <c r="K437" t="s">
        <v>82</v>
      </c>
      <c r="L437" t="s">
        <v>82</v>
      </c>
      <c r="M437" t="s">
        <v>82</v>
      </c>
      <c r="N437" t="s">
        <v>82</v>
      </c>
      <c r="O437" t="s">
        <v>82</v>
      </c>
      <c r="P437" t="s">
        <v>82</v>
      </c>
      <c r="Q437">
        <v>27.628</v>
      </c>
      <c r="R437">
        <v>30.382000000000001</v>
      </c>
      <c r="S437">
        <v>32.066000000000003</v>
      </c>
      <c r="T437">
        <v>30.529</v>
      </c>
      <c r="U437">
        <v>29.640999999999998</v>
      </c>
      <c r="V437">
        <v>29.861999999999998</v>
      </c>
      <c r="W437">
        <v>29.201000000000001</v>
      </c>
      <c r="X437">
        <v>31.56</v>
      </c>
      <c r="Y437">
        <v>32.414999999999999</v>
      </c>
      <c r="Z437">
        <v>31.19</v>
      </c>
      <c r="AA437">
        <v>28.463999999999999</v>
      </c>
      <c r="AB437">
        <v>27.619</v>
      </c>
      <c r="AC437">
        <v>28.111999999999998</v>
      </c>
      <c r="AD437">
        <v>25.7</v>
      </c>
      <c r="AE437">
        <v>25.209</v>
      </c>
      <c r="AF437">
        <v>26.285</v>
      </c>
      <c r="AG437">
        <v>28.504000000000001</v>
      </c>
      <c r="AH437">
        <v>30.962</v>
      </c>
      <c r="AI437">
        <v>31.873000000000001</v>
      </c>
      <c r="AJ437">
        <v>30.981999999999999</v>
      </c>
      <c r="AK437">
        <v>27.863</v>
      </c>
      <c r="AL437">
        <v>29.992999999999999</v>
      </c>
      <c r="AM437">
        <v>31.504999999999999</v>
      </c>
      <c r="AN437">
        <v>32.270000000000003</v>
      </c>
      <c r="AO437">
        <v>34.084000000000003</v>
      </c>
      <c r="AP437">
        <v>34.201000000000001</v>
      </c>
      <c r="AQ437">
        <v>30.879000000000001</v>
      </c>
      <c r="AR437">
        <v>32.161000000000001</v>
      </c>
      <c r="AS437">
        <v>31.584</v>
      </c>
      <c r="AT437">
        <v>31.052</v>
      </c>
      <c r="AU437">
        <v>30.934000000000001</v>
      </c>
      <c r="AV437">
        <v>30.823</v>
      </c>
      <c r="AW437">
        <v>30.634</v>
      </c>
    </row>
    <row r="438" spans="1:49" x14ac:dyDescent="0.35">
      <c r="A438" t="s">
        <v>184</v>
      </c>
      <c r="B438" t="s">
        <v>107</v>
      </c>
      <c r="C438" t="s">
        <v>108</v>
      </c>
      <c r="D438" t="s">
        <v>31</v>
      </c>
      <c r="E438" t="s">
        <v>32</v>
      </c>
      <c r="F438" t="s">
        <v>189</v>
      </c>
      <c r="G438" t="s">
        <v>82</v>
      </c>
      <c r="H438" t="s">
        <v>82</v>
      </c>
      <c r="I438" t="s">
        <v>82</v>
      </c>
      <c r="J438" t="s">
        <v>82</v>
      </c>
      <c r="K438" t="s">
        <v>82</v>
      </c>
      <c r="L438" t="s">
        <v>82</v>
      </c>
      <c r="M438" t="s">
        <v>82</v>
      </c>
      <c r="N438" t="s">
        <v>82</v>
      </c>
      <c r="O438" t="s">
        <v>82</v>
      </c>
      <c r="P438" t="s">
        <v>82</v>
      </c>
      <c r="Q438">
        <v>2.0089999999999999</v>
      </c>
      <c r="R438">
        <v>2.59</v>
      </c>
      <c r="S438">
        <v>3.0830000000000002</v>
      </c>
      <c r="T438">
        <v>3.3460000000000001</v>
      </c>
      <c r="U438">
        <v>3.6040000000000001</v>
      </c>
      <c r="V438">
        <v>4.2430000000000003</v>
      </c>
      <c r="W438">
        <v>5.17</v>
      </c>
      <c r="X438">
        <v>5.8559999999999999</v>
      </c>
      <c r="Y438">
        <v>6.6260000000000003</v>
      </c>
      <c r="Z438">
        <v>7.44</v>
      </c>
      <c r="AA438">
        <v>8.2330000000000005</v>
      </c>
      <c r="AB438">
        <v>9.4559999999999995</v>
      </c>
      <c r="AC438">
        <v>10.657999999999999</v>
      </c>
      <c r="AD438">
        <v>11.696999999999999</v>
      </c>
      <c r="AE438">
        <v>12.22</v>
      </c>
      <c r="AF438">
        <v>12.906000000000001</v>
      </c>
      <c r="AG438">
        <v>14.285</v>
      </c>
      <c r="AH438">
        <v>15.926</v>
      </c>
      <c r="AI438">
        <v>19.670000000000002</v>
      </c>
      <c r="AJ438">
        <v>23.975999999999999</v>
      </c>
      <c r="AK438">
        <v>27.367000000000001</v>
      </c>
      <c r="AL438">
        <v>34.573999999999998</v>
      </c>
      <c r="AM438">
        <v>37.447000000000003</v>
      </c>
      <c r="AN438">
        <v>44.982999999999997</v>
      </c>
      <c r="AO438">
        <v>56.350999999999999</v>
      </c>
      <c r="AP438">
        <v>63.774000000000001</v>
      </c>
      <c r="AQ438">
        <v>63.136000000000003</v>
      </c>
      <c r="AR438">
        <v>65.006</v>
      </c>
      <c r="AS438">
        <v>71.653000000000006</v>
      </c>
      <c r="AT438">
        <v>79.320999999999998</v>
      </c>
      <c r="AU438">
        <v>86.35</v>
      </c>
      <c r="AV438">
        <v>94.06</v>
      </c>
      <c r="AW438">
        <v>102.592</v>
      </c>
    </row>
    <row r="439" spans="1:49" x14ac:dyDescent="0.35">
      <c r="A439" t="s">
        <v>184</v>
      </c>
      <c r="B439" t="s">
        <v>107</v>
      </c>
      <c r="C439" t="s">
        <v>108</v>
      </c>
      <c r="D439" t="s">
        <v>70</v>
      </c>
      <c r="F439" t="s">
        <v>109</v>
      </c>
      <c r="G439" t="s">
        <v>82</v>
      </c>
      <c r="H439" t="s">
        <v>82</v>
      </c>
      <c r="I439" t="s">
        <v>82</v>
      </c>
      <c r="J439" t="s">
        <v>82</v>
      </c>
      <c r="K439" t="s">
        <v>82</v>
      </c>
      <c r="L439" t="s">
        <v>82</v>
      </c>
      <c r="M439" t="s">
        <v>82</v>
      </c>
      <c r="N439" t="s">
        <v>82</v>
      </c>
      <c r="O439" t="s">
        <v>82</v>
      </c>
      <c r="P439" t="s">
        <v>82</v>
      </c>
      <c r="Q439">
        <v>26.86</v>
      </c>
      <c r="R439">
        <v>32.133000000000003</v>
      </c>
      <c r="S439">
        <v>35.000999999999998</v>
      </c>
      <c r="T439">
        <v>33.555</v>
      </c>
      <c r="U439">
        <v>30.445</v>
      </c>
      <c r="V439">
        <v>31.945</v>
      </c>
      <c r="W439">
        <v>33.472000000000001</v>
      </c>
      <c r="X439">
        <v>34.424999999999997</v>
      </c>
      <c r="Y439">
        <v>35.793999999999997</v>
      </c>
      <c r="Z439">
        <v>33.372</v>
      </c>
      <c r="AA439">
        <v>29.427</v>
      </c>
      <c r="AB439">
        <v>29.774000000000001</v>
      </c>
      <c r="AC439">
        <v>29.687999999999999</v>
      </c>
      <c r="AD439">
        <v>30.265000000000001</v>
      </c>
      <c r="AE439">
        <v>28.059000000000001</v>
      </c>
      <c r="AF439">
        <v>26.81</v>
      </c>
      <c r="AG439">
        <v>25.547999999999998</v>
      </c>
      <c r="AH439">
        <v>24.995999999999999</v>
      </c>
      <c r="AI439">
        <v>27.553999999999998</v>
      </c>
      <c r="AJ439">
        <v>31.113</v>
      </c>
      <c r="AK439">
        <v>32.396000000000001</v>
      </c>
      <c r="AL439">
        <v>36.664999999999999</v>
      </c>
      <c r="AM439">
        <v>33.783000000000001</v>
      </c>
      <c r="AN439">
        <v>35.479999999999997</v>
      </c>
      <c r="AO439">
        <v>39.97</v>
      </c>
      <c r="AP439">
        <v>42.238999999999997</v>
      </c>
      <c r="AQ439">
        <v>38.548000000000002</v>
      </c>
      <c r="AR439">
        <v>37.006</v>
      </c>
      <c r="AS439">
        <v>37.533999999999999</v>
      </c>
      <c r="AT439">
        <v>37.981999999999999</v>
      </c>
      <c r="AU439">
        <v>37.768000000000001</v>
      </c>
      <c r="AV439">
        <v>37.545999999999999</v>
      </c>
      <c r="AW439">
        <v>37.372999999999998</v>
      </c>
    </row>
    <row r="440" spans="1:49" x14ac:dyDescent="0.35">
      <c r="A440" t="s">
        <v>184</v>
      </c>
      <c r="B440" t="s">
        <v>110</v>
      </c>
      <c r="C440" t="s">
        <v>111</v>
      </c>
      <c r="D440" t="s">
        <v>31</v>
      </c>
      <c r="E440" t="s">
        <v>32</v>
      </c>
      <c r="F440" t="s">
        <v>189</v>
      </c>
      <c r="G440" t="s">
        <v>82</v>
      </c>
      <c r="H440" t="s">
        <v>82</v>
      </c>
      <c r="I440" t="s">
        <v>82</v>
      </c>
      <c r="J440" t="s">
        <v>82</v>
      </c>
      <c r="K440" t="s">
        <v>82</v>
      </c>
      <c r="L440" t="s">
        <v>82</v>
      </c>
      <c r="M440" t="s">
        <v>82</v>
      </c>
      <c r="N440" t="s">
        <v>82</v>
      </c>
      <c r="O440" t="s">
        <v>82</v>
      </c>
      <c r="P440" t="s">
        <v>82</v>
      </c>
      <c r="Q440">
        <v>5.7000000000000002E-2</v>
      </c>
      <c r="R440">
        <v>-0.14099999999999999</v>
      </c>
      <c r="S440">
        <v>-0.25800000000000001</v>
      </c>
      <c r="T440">
        <v>-0.30199999999999999</v>
      </c>
      <c r="U440">
        <v>-9.5000000000000001E-2</v>
      </c>
      <c r="V440">
        <v>-0.27700000000000002</v>
      </c>
      <c r="W440">
        <v>-0.66</v>
      </c>
      <c r="X440">
        <v>-0.48699999999999999</v>
      </c>
      <c r="Y440">
        <v>-0.626</v>
      </c>
      <c r="Z440">
        <v>-0.48599999999999999</v>
      </c>
      <c r="AA440">
        <v>-0.27</v>
      </c>
      <c r="AB440">
        <v>-0.68400000000000005</v>
      </c>
      <c r="AC440">
        <v>-0.56599999999999995</v>
      </c>
      <c r="AD440">
        <v>-1.764</v>
      </c>
      <c r="AE440">
        <v>-1.2410000000000001</v>
      </c>
      <c r="AF440">
        <v>-0.253</v>
      </c>
      <c r="AG440">
        <v>1.653</v>
      </c>
      <c r="AH440">
        <v>3.8010000000000002</v>
      </c>
      <c r="AI440">
        <v>3.0830000000000002</v>
      </c>
      <c r="AJ440">
        <v>-0.10100000000000001</v>
      </c>
      <c r="AK440">
        <v>-3.8290000000000002</v>
      </c>
      <c r="AL440">
        <v>-6.2910000000000004</v>
      </c>
      <c r="AM440">
        <v>-2.5249999999999999</v>
      </c>
      <c r="AN440">
        <v>-4.069</v>
      </c>
      <c r="AO440">
        <v>-8.2989999999999995</v>
      </c>
      <c r="AP440">
        <v>-12.135999999999999</v>
      </c>
      <c r="AQ440">
        <v>-12.561</v>
      </c>
      <c r="AR440">
        <v>-8.5109999999999992</v>
      </c>
      <c r="AS440">
        <v>-11.359</v>
      </c>
      <c r="AT440">
        <v>-14.473000000000001</v>
      </c>
      <c r="AU440">
        <v>-15.624000000000001</v>
      </c>
      <c r="AV440">
        <v>-16.844000000000001</v>
      </c>
      <c r="AW440">
        <v>-18.498999999999999</v>
      </c>
    </row>
    <row r="441" spans="1:49" x14ac:dyDescent="0.35">
      <c r="A441" t="s">
        <v>184</v>
      </c>
      <c r="B441" t="s">
        <v>110</v>
      </c>
      <c r="C441" t="s">
        <v>111</v>
      </c>
      <c r="D441" t="s">
        <v>70</v>
      </c>
      <c r="F441" t="s">
        <v>112</v>
      </c>
      <c r="G441" t="s">
        <v>82</v>
      </c>
      <c r="H441" t="s">
        <v>82</v>
      </c>
      <c r="I441" t="s">
        <v>82</v>
      </c>
      <c r="J441" t="s">
        <v>82</v>
      </c>
      <c r="K441" t="s">
        <v>82</v>
      </c>
      <c r="L441" t="s">
        <v>82</v>
      </c>
      <c r="M441" t="s">
        <v>82</v>
      </c>
      <c r="N441" t="s">
        <v>82</v>
      </c>
      <c r="O441" t="s">
        <v>82</v>
      </c>
      <c r="P441" t="s">
        <v>82</v>
      </c>
      <c r="Q441">
        <v>0.76800000000000002</v>
      </c>
      <c r="R441">
        <v>-1.7509999999999999</v>
      </c>
      <c r="S441">
        <v>-2.9350000000000001</v>
      </c>
      <c r="T441">
        <v>-3.0259999999999998</v>
      </c>
      <c r="U441">
        <v>-0.80400000000000005</v>
      </c>
      <c r="V441">
        <v>-2.0830000000000002</v>
      </c>
      <c r="W441">
        <v>-4.2699999999999996</v>
      </c>
      <c r="X441">
        <v>-2.8650000000000002</v>
      </c>
      <c r="Y441">
        <v>-3.379</v>
      </c>
      <c r="Z441">
        <v>-2.181</v>
      </c>
      <c r="AA441">
        <v>-0.96299999999999997</v>
      </c>
      <c r="AB441">
        <v>-2.1549999999999998</v>
      </c>
      <c r="AC441">
        <v>-1.5760000000000001</v>
      </c>
      <c r="AD441">
        <v>-4.5650000000000004</v>
      </c>
      <c r="AE441">
        <v>-2.85</v>
      </c>
      <c r="AF441">
        <v>-0.52500000000000002</v>
      </c>
      <c r="AG441">
        <v>2.956</v>
      </c>
      <c r="AH441">
        <v>5.9660000000000002</v>
      </c>
      <c r="AI441">
        <v>4.319</v>
      </c>
      <c r="AJ441">
        <v>-0.13200000000000001</v>
      </c>
      <c r="AK441">
        <v>-4.5330000000000004</v>
      </c>
      <c r="AL441">
        <v>-6.6719999999999997</v>
      </c>
      <c r="AM441">
        <v>-2.278</v>
      </c>
      <c r="AN441">
        <v>-3.2090000000000001</v>
      </c>
      <c r="AO441">
        <v>-5.8869999999999996</v>
      </c>
      <c r="AP441">
        <v>-8.0380000000000003</v>
      </c>
      <c r="AQ441">
        <v>-7.6689999999999996</v>
      </c>
      <c r="AR441">
        <v>-4.8449999999999998</v>
      </c>
      <c r="AS441">
        <v>-5.95</v>
      </c>
      <c r="AT441">
        <v>-6.93</v>
      </c>
      <c r="AU441">
        <v>-6.8339999999999996</v>
      </c>
      <c r="AV441">
        <v>-6.7240000000000002</v>
      </c>
      <c r="AW441">
        <v>-6.7389999999999999</v>
      </c>
    </row>
    <row r="442" spans="1:49" x14ac:dyDescent="0.35">
      <c r="A442" t="s">
        <v>184</v>
      </c>
      <c r="B442" t="s">
        <v>113</v>
      </c>
      <c r="C442" t="s">
        <v>114</v>
      </c>
      <c r="D442" t="s">
        <v>31</v>
      </c>
      <c r="E442" t="s">
        <v>32</v>
      </c>
    </row>
    <row r="443" spans="1:49" x14ac:dyDescent="0.35">
      <c r="A443" t="s">
        <v>184</v>
      </c>
      <c r="B443" t="s">
        <v>113</v>
      </c>
      <c r="C443" t="s">
        <v>114</v>
      </c>
      <c r="D443" t="s">
        <v>61</v>
      </c>
    </row>
    <row r="444" spans="1:49" x14ac:dyDescent="0.35">
      <c r="A444" t="s">
        <v>184</v>
      </c>
      <c r="B444" t="s">
        <v>115</v>
      </c>
      <c r="C444" t="s">
        <v>116</v>
      </c>
      <c r="D444" t="s">
        <v>31</v>
      </c>
      <c r="E444" t="s">
        <v>32</v>
      </c>
      <c r="F444" t="s">
        <v>189</v>
      </c>
      <c r="G444" t="s">
        <v>82</v>
      </c>
      <c r="H444" t="s">
        <v>82</v>
      </c>
      <c r="I444" t="s">
        <v>82</v>
      </c>
      <c r="J444" t="s">
        <v>82</v>
      </c>
      <c r="K444" t="s">
        <v>82</v>
      </c>
      <c r="L444" t="s">
        <v>82</v>
      </c>
      <c r="M444" t="s">
        <v>82</v>
      </c>
      <c r="N444" t="s">
        <v>82</v>
      </c>
      <c r="O444" t="s">
        <v>82</v>
      </c>
      <c r="P444" t="s">
        <v>82</v>
      </c>
      <c r="Q444">
        <v>0.11</v>
      </c>
      <c r="R444">
        <v>-0.11899999999999999</v>
      </c>
      <c r="S444">
        <v>-0.23699999999999999</v>
      </c>
      <c r="T444">
        <v>-0.24399999999999999</v>
      </c>
      <c r="U444">
        <v>0.01</v>
      </c>
      <c r="V444">
        <v>-0.13900000000000001</v>
      </c>
      <c r="W444">
        <v>-0.435</v>
      </c>
      <c r="X444">
        <v>-0.16200000000000001</v>
      </c>
      <c r="Y444">
        <v>-0.17100000000000001</v>
      </c>
      <c r="Z444">
        <v>5.0000000000000001E-3</v>
      </c>
      <c r="AA444">
        <v>0.22600000000000001</v>
      </c>
      <c r="AB444">
        <v>-0.158</v>
      </c>
      <c r="AC444">
        <v>0.13800000000000001</v>
      </c>
      <c r="AD444">
        <v>-0.94599999999999995</v>
      </c>
      <c r="AE444">
        <v>-0.30499999999999999</v>
      </c>
      <c r="AF444">
        <v>0.82899999999999996</v>
      </c>
      <c r="AG444">
        <v>2.8340000000000001</v>
      </c>
      <c r="AH444">
        <v>4.8659999999999997</v>
      </c>
      <c r="AI444">
        <v>3.5089999999999999</v>
      </c>
      <c r="AJ444">
        <v>0.70299999999999996</v>
      </c>
      <c r="AK444">
        <v>-2.9009999999999998</v>
      </c>
      <c r="AL444">
        <v>-5.2409999999999997</v>
      </c>
      <c r="AM444">
        <v>-1.024</v>
      </c>
      <c r="AN444">
        <v>-2.3439999999999999</v>
      </c>
      <c r="AO444">
        <v>-6.33</v>
      </c>
      <c r="AP444">
        <v>-9.6769999999999996</v>
      </c>
      <c r="AQ444">
        <v>-8.7959999999999994</v>
      </c>
      <c r="AR444">
        <v>-3.6389999999999998</v>
      </c>
      <c r="AS444">
        <v>-5.4710000000000001</v>
      </c>
      <c r="AT444">
        <v>-7.3920000000000003</v>
      </c>
      <c r="AU444">
        <v>-7.2110000000000003</v>
      </c>
      <c r="AV444">
        <v>-7.1420000000000003</v>
      </c>
      <c r="AW444">
        <v>-7.3490000000000002</v>
      </c>
    </row>
    <row r="445" spans="1:49" x14ac:dyDescent="0.35">
      <c r="A445" t="s">
        <v>184</v>
      </c>
      <c r="B445" t="s">
        <v>115</v>
      </c>
      <c r="C445" t="s">
        <v>116</v>
      </c>
      <c r="D445" t="s">
        <v>70</v>
      </c>
      <c r="F445" t="s">
        <v>117</v>
      </c>
      <c r="G445" t="s">
        <v>82</v>
      </c>
      <c r="H445" t="s">
        <v>82</v>
      </c>
      <c r="I445" t="s">
        <v>82</v>
      </c>
      <c r="J445" t="s">
        <v>82</v>
      </c>
      <c r="K445" t="s">
        <v>82</v>
      </c>
      <c r="L445" t="s">
        <v>82</v>
      </c>
      <c r="M445" t="s">
        <v>82</v>
      </c>
      <c r="N445" t="s">
        <v>82</v>
      </c>
      <c r="O445" t="s">
        <v>82</v>
      </c>
      <c r="P445" t="s">
        <v>82</v>
      </c>
      <c r="Q445">
        <v>1.4750000000000001</v>
      </c>
      <c r="R445">
        <v>-1.4730000000000001</v>
      </c>
      <c r="S445">
        <v>-2.6920000000000002</v>
      </c>
      <c r="T445">
        <v>-2.4449999999999998</v>
      </c>
      <c r="U445">
        <v>8.7999999999999995E-2</v>
      </c>
      <c r="V445">
        <v>-1.0429999999999999</v>
      </c>
      <c r="W445">
        <v>-2.819</v>
      </c>
      <c r="X445">
        <v>-0.95299999999999996</v>
      </c>
      <c r="Y445">
        <v>-0.92500000000000004</v>
      </c>
      <c r="Z445">
        <v>2.1999999999999999E-2</v>
      </c>
      <c r="AA445">
        <v>0.80800000000000005</v>
      </c>
      <c r="AB445">
        <v>-0.497</v>
      </c>
      <c r="AC445">
        <v>0.38500000000000001</v>
      </c>
      <c r="AD445">
        <v>-2.4470000000000001</v>
      </c>
      <c r="AE445">
        <v>-0.7</v>
      </c>
      <c r="AF445">
        <v>1.7210000000000001</v>
      </c>
      <c r="AG445">
        <v>5.069</v>
      </c>
      <c r="AH445">
        <v>7.6369999999999996</v>
      </c>
      <c r="AI445">
        <v>4.915</v>
      </c>
      <c r="AJ445">
        <v>0.91200000000000003</v>
      </c>
      <c r="AK445">
        <v>-3.4340000000000002</v>
      </c>
      <c r="AL445">
        <v>-5.5579999999999998</v>
      </c>
      <c r="AM445">
        <v>-0.92300000000000004</v>
      </c>
      <c r="AN445">
        <v>-1.849</v>
      </c>
      <c r="AO445">
        <v>-4.49</v>
      </c>
      <c r="AP445">
        <v>-6.4089999999999998</v>
      </c>
      <c r="AQ445">
        <v>-5.3710000000000004</v>
      </c>
      <c r="AR445">
        <v>-2.0710000000000002</v>
      </c>
      <c r="AS445">
        <v>-2.8660000000000001</v>
      </c>
      <c r="AT445">
        <v>-3.54</v>
      </c>
      <c r="AU445">
        <v>-3.1539999999999999</v>
      </c>
      <c r="AV445">
        <v>-2.851</v>
      </c>
      <c r="AW445">
        <v>-2.677</v>
      </c>
    </row>
    <row r="446" spans="1:49" x14ac:dyDescent="0.35">
      <c r="A446" t="s">
        <v>184</v>
      </c>
      <c r="B446" t="s">
        <v>118</v>
      </c>
      <c r="C446" t="s">
        <v>119</v>
      </c>
      <c r="D446" t="s">
        <v>31</v>
      </c>
      <c r="E446" t="s">
        <v>32</v>
      </c>
      <c r="F446" t="s">
        <v>189</v>
      </c>
      <c r="G446" t="s">
        <v>82</v>
      </c>
      <c r="H446" t="s">
        <v>82</v>
      </c>
      <c r="I446" t="s">
        <v>82</v>
      </c>
      <c r="J446" t="s">
        <v>82</v>
      </c>
      <c r="K446" t="s">
        <v>82</v>
      </c>
      <c r="L446" t="s">
        <v>82</v>
      </c>
      <c r="M446" t="s">
        <v>82</v>
      </c>
      <c r="N446" t="s">
        <v>82</v>
      </c>
      <c r="O446" t="s">
        <v>82</v>
      </c>
      <c r="P446" t="s">
        <v>82</v>
      </c>
      <c r="Q446" t="s">
        <v>82</v>
      </c>
      <c r="R446" t="s">
        <v>82</v>
      </c>
      <c r="S446" t="s">
        <v>82</v>
      </c>
      <c r="T446">
        <v>1.615</v>
      </c>
      <c r="U446">
        <v>1.88</v>
      </c>
      <c r="V446">
        <v>2.35</v>
      </c>
      <c r="W446">
        <v>2.9020000000000001</v>
      </c>
      <c r="X446">
        <v>3.0609999999999999</v>
      </c>
      <c r="Y446">
        <v>3.7850000000000001</v>
      </c>
      <c r="Z446">
        <v>4.6479999999999997</v>
      </c>
      <c r="AA446">
        <v>5.2009999999999996</v>
      </c>
      <c r="AB446">
        <v>6.9580000000000002</v>
      </c>
      <c r="AC446">
        <v>6.9809999999999999</v>
      </c>
      <c r="AD446">
        <v>9.6679999999999993</v>
      </c>
      <c r="AE446">
        <v>11.74</v>
      </c>
      <c r="AF446">
        <v>11.554</v>
      </c>
      <c r="AG446">
        <v>10.919</v>
      </c>
      <c r="AH446">
        <v>6.7990000000000004</v>
      </c>
      <c r="AI446">
        <v>6.0949999999999998</v>
      </c>
      <c r="AJ446">
        <v>6.758</v>
      </c>
      <c r="AK446">
        <v>11.053000000000001</v>
      </c>
      <c r="AL446">
        <v>19.542999999999999</v>
      </c>
      <c r="AM446">
        <v>20.004000000000001</v>
      </c>
      <c r="AN446">
        <v>27.3</v>
      </c>
      <c r="AO446">
        <v>35.034999999999997</v>
      </c>
      <c r="AP446">
        <v>51.656999999999996</v>
      </c>
      <c r="AQ446">
        <v>60.5</v>
      </c>
      <c r="AR446">
        <v>68.683999999999997</v>
      </c>
      <c r="AS446">
        <v>78.963999999999999</v>
      </c>
      <c r="AT446">
        <v>90.590999999999994</v>
      </c>
      <c r="AU446">
        <v>105.384</v>
      </c>
      <c r="AV446">
        <v>121.95399999999999</v>
      </c>
      <c r="AW446">
        <v>142.1</v>
      </c>
    </row>
    <row r="447" spans="1:49" x14ac:dyDescent="0.35">
      <c r="A447" t="s">
        <v>184</v>
      </c>
      <c r="B447" t="s">
        <v>118</v>
      </c>
      <c r="C447" t="s">
        <v>119</v>
      </c>
      <c r="D447" t="s">
        <v>70</v>
      </c>
      <c r="F447" t="s">
        <v>134</v>
      </c>
      <c r="G447" t="s">
        <v>82</v>
      </c>
      <c r="H447" t="s">
        <v>82</v>
      </c>
      <c r="I447" t="s">
        <v>82</v>
      </c>
      <c r="J447" t="s">
        <v>82</v>
      </c>
      <c r="K447" t="s">
        <v>82</v>
      </c>
      <c r="L447" t="s">
        <v>82</v>
      </c>
      <c r="M447" t="s">
        <v>82</v>
      </c>
      <c r="N447" t="s">
        <v>82</v>
      </c>
      <c r="O447" t="s">
        <v>82</v>
      </c>
      <c r="P447" t="s">
        <v>82</v>
      </c>
      <c r="Q447" t="s">
        <v>82</v>
      </c>
      <c r="R447" t="s">
        <v>82</v>
      </c>
      <c r="S447" t="s">
        <v>82</v>
      </c>
      <c r="T447">
        <v>16.193999999999999</v>
      </c>
      <c r="U447">
        <v>15.878</v>
      </c>
      <c r="V447">
        <v>17.696999999999999</v>
      </c>
      <c r="W447">
        <v>18.789000000000001</v>
      </c>
      <c r="X447">
        <v>17.995000000000001</v>
      </c>
      <c r="Y447">
        <v>20.446999999999999</v>
      </c>
      <c r="Z447">
        <v>20.85</v>
      </c>
      <c r="AA447">
        <v>18.59</v>
      </c>
      <c r="AB447">
        <v>21.908999999999999</v>
      </c>
      <c r="AC447">
        <v>19.445</v>
      </c>
      <c r="AD447">
        <v>25.015999999999998</v>
      </c>
      <c r="AE447">
        <v>26.954999999999998</v>
      </c>
      <c r="AF447">
        <v>24.001000000000001</v>
      </c>
      <c r="AG447">
        <v>19.527999999999999</v>
      </c>
      <c r="AH447">
        <v>10.670999999999999</v>
      </c>
      <c r="AI447">
        <v>8.5380000000000003</v>
      </c>
      <c r="AJ447">
        <v>8.77</v>
      </c>
      <c r="AK447">
        <v>13.084</v>
      </c>
      <c r="AL447">
        <v>20.725000000000001</v>
      </c>
      <c r="AM447">
        <v>18.047000000000001</v>
      </c>
      <c r="AN447">
        <v>21.533000000000001</v>
      </c>
      <c r="AO447">
        <v>24.850999999999999</v>
      </c>
      <c r="AP447">
        <v>34.213999999999999</v>
      </c>
      <c r="AQ447">
        <v>36.939</v>
      </c>
      <c r="AR447">
        <v>39.098999999999997</v>
      </c>
      <c r="AS447">
        <v>41.363999999999997</v>
      </c>
      <c r="AT447">
        <v>43.378</v>
      </c>
      <c r="AU447">
        <v>46.093000000000004</v>
      </c>
      <c r="AV447">
        <v>48.680999999999997</v>
      </c>
      <c r="AW447">
        <v>51.765000000000001</v>
      </c>
    </row>
    <row r="448" spans="1:49" x14ac:dyDescent="0.35">
      <c r="A448" t="s">
        <v>184</v>
      </c>
      <c r="B448" t="s">
        <v>120</v>
      </c>
      <c r="C448" t="s">
        <v>121</v>
      </c>
      <c r="D448" t="s">
        <v>31</v>
      </c>
      <c r="E448" t="s">
        <v>32</v>
      </c>
      <c r="F448" t="s">
        <v>189</v>
      </c>
      <c r="G448" t="s">
        <v>82</v>
      </c>
      <c r="H448" t="s">
        <v>82</v>
      </c>
      <c r="I448" t="s">
        <v>82</v>
      </c>
      <c r="J448" t="s">
        <v>82</v>
      </c>
      <c r="K448" t="s">
        <v>82</v>
      </c>
      <c r="L448" t="s">
        <v>82</v>
      </c>
      <c r="M448" t="s">
        <v>82</v>
      </c>
      <c r="N448" t="s">
        <v>82</v>
      </c>
      <c r="O448" t="s">
        <v>82</v>
      </c>
      <c r="P448" t="s">
        <v>82</v>
      </c>
      <c r="Q448" t="s">
        <v>82</v>
      </c>
      <c r="R448" t="s">
        <v>82</v>
      </c>
      <c r="S448" t="s">
        <v>82</v>
      </c>
      <c r="T448">
        <v>1.77</v>
      </c>
      <c r="U448">
        <v>2.06</v>
      </c>
      <c r="V448">
        <v>2.5760000000000001</v>
      </c>
      <c r="W448">
        <v>3.181</v>
      </c>
      <c r="X448">
        <v>3.355</v>
      </c>
      <c r="Y448">
        <v>4.149</v>
      </c>
      <c r="Z448">
        <v>5.0949999999999998</v>
      </c>
      <c r="AA448">
        <v>5.7009999999999996</v>
      </c>
      <c r="AB448">
        <v>7.5069999999999997</v>
      </c>
      <c r="AC448">
        <v>7.9240000000000004</v>
      </c>
      <c r="AD448">
        <v>10.212999999999999</v>
      </c>
      <c r="AE448">
        <v>12.558999999999999</v>
      </c>
      <c r="AF448">
        <v>12.532999999999999</v>
      </c>
      <c r="AG448">
        <v>13.638</v>
      </c>
      <c r="AH448">
        <v>11.925000000000001</v>
      </c>
      <c r="AI448">
        <v>13.388999999999999</v>
      </c>
      <c r="AJ448">
        <v>11.922000000000001</v>
      </c>
      <c r="AK448">
        <v>13.487</v>
      </c>
      <c r="AL448">
        <v>24.734000000000002</v>
      </c>
      <c r="AM448">
        <v>26.318000000000001</v>
      </c>
      <c r="AN448">
        <v>30.663</v>
      </c>
      <c r="AO448">
        <v>35.957999999999998</v>
      </c>
      <c r="AP448">
        <v>59.563000000000002</v>
      </c>
      <c r="AQ448">
        <v>65.463999999999999</v>
      </c>
      <c r="AR448">
        <v>72.942999999999998</v>
      </c>
      <c r="AS448">
        <v>83.216999999999999</v>
      </c>
      <c r="AT448">
        <v>94.998000000000005</v>
      </c>
      <c r="AU448">
        <v>109.958</v>
      </c>
      <c r="AV448">
        <v>126.714</v>
      </c>
      <c r="AW448">
        <v>147.05099999999999</v>
      </c>
    </row>
    <row r="449" spans="1:49" x14ac:dyDescent="0.35">
      <c r="A449" t="s">
        <v>184</v>
      </c>
      <c r="B449" t="s">
        <v>120</v>
      </c>
      <c r="C449" t="s">
        <v>121</v>
      </c>
      <c r="D449" t="s">
        <v>70</v>
      </c>
      <c r="F449" t="s">
        <v>122</v>
      </c>
      <c r="G449" t="s">
        <v>82</v>
      </c>
      <c r="H449" t="s">
        <v>82</v>
      </c>
      <c r="I449" t="s">
        <v>82</v>
      </c>
      <c r="J449" t="s">
        <v>82</v>
      </c>
      <c r="K449" t="s">
        <v>82</v>
      </c>
      <c r="L449" t="s">
        <v>82</v>
      </c>
      <c r="M449" t="s">
        <v>82</v>
      </c>
      <c r="N449" t="s">
        <v>82</v>
      </c>
      <c r="O449" t="s">
        <v>82</v>
      </c>
      <c r="P449" t="s">
        <v>82</v>
      </c>
      <c r="Q449" t="s">
        <v>82</v>
      </c>
      <c r="R449" t="s">
        <v>82</v>
      </c>
      <c r="S449" t="s">
        <v>82</v>
      </c>
      <c r="T449">
        <v>17.751000000000001</v>
      </c>
      <c r="U449">
        <v>17.404</v>
      </c>
      <c r="V449">
        <v>19.398</v>
      </c>
      <c r="W449">
        <v>20.594999999999999</v>
      </c>
      <c r="X449">
        <v>19.725000000000001</v>
      </c>
      <c r="Y449">
        <v>22.411999999999999</v>
      </c>
      <c r="Z449">
        <v>22.853999999999999</v>
      </c>
      <c r="AA449">
        <v>20.376999999999999</v>
      </c>
      <c r="AB449">
        <v>23.637</v>
      </c>
      <c r="AC449">
        <v>22.074000000000002</v>
      </c>
      <c r="AD449">
        <v>26.425999999999998</v>
      </c>
      <c r="AE449">
        <v>28.835999999999999</v>
      </c>
      <c r="AF449">
        <v>26.035</v>
      </c>
      <c r="AG449">
        <v>24.390999999999998</v>
      </c>
      <c r="AH449">
        <v>18.716000000000001</v>
      </c>
      <c r="AI449">
        <v>18.756</v>
      </c>
      <c r="AJ449">
        <v>15.471</v>
      </c>
      <c r="AK449">
        <v>15.965</v>
      </c>
      <c r="AL449">
        <v>26.23</v>
      </c>
      <c r="AM449">
        <v>23.742999999999999</v>
      </c>
      <c r="AN449">
        <v>24.184999999999999</v>
      </c>
      <c r="AO449">
        <v>25.504999999999999</v>
      </c>
      <c r="AP449">
        <v>39.450000000000003</v>
      </c>
      <c r="AQ449">
        <v>39.97</v>
      </c>
      <c r="AR449">
        <v>41.524000000000001</v>
      </c>
      <c r="AS449">
        <v>43.591000000000001</v>
      </c>
      <c r="AT449">
        <v>45.488</v>
      </c>
      <c r="AU449">
        <v>48.094000000000001</v>
      </c>
      <c r="AV449">
        <v>50.58</v>
      </c>
      <c r="AW449">
        <v>53.569000000000003</v>
      </c>
    </row>
    <row r="450" spans="1:49" x14ac:dyDescent="0.35">
      <c r="A450" t="s">
        <v>184</v>
      </c>
      <c r="B450" t="s">
        <v>123</v>
      </c>
      <c r="C450" t="s">
        <v>124</v>
      </c>
      <c r="D450" t="s">
        <v>31</v>
      </c>
      <c r="E450" t="s">
        <v>32</v>
      </c>
      <c r="F450" t="s">
        <v>189</v>
      </c>
      <c r="G450" t="s">
        <v>82</v>
      </c>
      <c r="H450" t="s">
        <v>82</v>
      </c>
      <c r="I450" t="s">
        <v>82</v>
      </c>
      <c r="J450" t="s">
        <v>82</v>
      </c>
      <c r="K450" t="s">
        <v>82</v>
      </c>
      <c r="L450" t="s">
        <v>82</v>
      </c>
      <c r="M450" t="s">
        <v>82</v>
      </c>
      <c r="N450" t="s">
        <v>82</v>
      </c>
      <c r="O450" t="s">
        <v>82</v>
      </c>
      <c r="P450">
        <v>6.9550000000000001</v>
      </c>
      <c r="Q450">
        <v>7.4779999999999998</v>
      </c>
      <c r="R450">
        <v>8.0589999999999993</v>
      </c>
      <c r="S450">
        <v>8.8070000000000004</v>
      </c>
      <c r="T450">
        <v>9.9710000000000001</v>
      </c>
      <c r="U450">
        <v>11.837999999999999</v>
      </c>
      <c r="V450">
        <v>13.282</v>
      </c>
      <c r="W450">
        <v>15.446</v>
      </c>
      <c r="X450">
        <v>17.010000000000002</v>
      </c>
      <c r="Y450">
        <v>18.510999999999999</v>
      </c>
      <c r="Z450">
        <v>22.295000000000002</v>
      </c>
      <c r="AA450">
        <v>27.978999999999999</v>
      </c>
      <c r="AB450">
        <v>31.760999999999999</v>
      </c>
      <c r="AC450">
        <v>35.899000000000001</v>
      </c>
      <c r="AD450">
        <v>38.649000000000001</v>
      </c>
      <c r="AE450">
        <v>43.552999999999997</v>
      </c>
      <c r="AF450">
        <v>48.139000000000003</v>
      </c>
      <c r="AG450">
        <v>55.914999999999999</v>
      </c>
      <c r="AH450">
        <v>63.715000000000003</v>
      </c>
      <c r="AI450">
        <v>71.385999999999996</v>
      </c>
      <c r="AJ450">
        <v>77.06</v>
      </c>
      <c r="AK450">
        <v>84.475999999999999</v>
      </c>
      <c r="AL450">
        <v>94.296999999999997</v>
      </c>
      <c r="AM450">
        <v>110.846</v>
      </c>
      <c r="AN450">
        <v>126.785</v>
      </c>
      <c r="AO450">
        <v>140.98099999999999</v>
      </c>
      <c r="AP450">
        <v>150.98400000000001</v>
      </c>
      <c r="AQ450">
        <v>163.78299999999999</v>
      </c>
      <c r="AR450">
        <v>175.66499999999999</v>
      </c>
      <c r="AS450">
        <v>190.90199999999999</v>
      </c>
      <c r="AT450">
        <v>208.839</v>
      </c>
      <c r="AU450">
        <v>228.63200000000001</v>
      </c>
      <c r="AV450">
        <v>250.51900000000001</v>
      </c>
      <c r="AW450">
        <v>274.51</v>
      </c>
    </row>
    <row r="451" spans="1:49" x14ac:dyDescent="0.35">
      <c r="A451" t="s">
        <v>184</v>
      </c>
      <c r="B451" t="s">
        <v>125</v>
      </c>
      <c r="C451" t="s">
        <v>126</v>
      </c>
      <c r="D451" t="s">
        <v>41</v>
      </c>
      <c r="E451" t="s">
        <v>32</v>
      </c>
      <c r="F451" t="s">
        <v>190</v>
      </c>
      <c r="G451" t="s">
        <v>82</v>
      </c>
      <c r="H451" t="s">
        <v>82</v>
      </c>
      <c r="I451" t="s">
        <v>82</v>
      </c>
      <c r="J451" t="s">
        <v>82</v>
      </c>
      <c r="K451" t="s">
        <v>82</v>
      </c>
      <c r="L451" t="s">
        <v>82</v>
      </c>
      <c r="M451" t="s">
        <v>82</v>
      </c>
      <c r="N451" t="s">
        <v>82</v>
      </c>
      <c r="O451" t="s">
        <v>82</v>
      </c>
      <c r="P451" t="s">
        <v>82</v>
      </c>
      <c r="Q451">
        <v>2.8000000000000001E-2</v>
      </c>
      <c r="R451">
        <v>0.105</v>
      </c>
      <c r="S451">
        <v>0.05</v>
      </c>
      <c r="T451">
        <v>0.11</v>
      </c>
      <c r="U451">
        <v>8.5000000000000006E-2</v>
      </c>
      <c r="V451">
        <v>0.17599999999999999</v>
      </c>
      <c r="W451">
        <v>0.11600000000000001</v>
      </c>
      <c r="X451">
        <v>0.09</v>
      </c>
      <c r="Y451">
        <v>0.16200000000000001</v>
      </c>
      <c r="Z451">
        <v>-2.8000000000000001E-2</v>
      </c>
      <c r="AA451">
        <v>0.192</v>
      </c>
      <c r="AB451">
        <v>1.0999999999999999E-2</v>
      </c>
      <c r="AC451">
        <v>8.5999999999999993E-2</v>
      </c>
      <c r="AD451">
        <v>0.26600000000000001</v>
      </c>
      <c r="AE451">
        <v>0.44600000000000001</v>
      </c>
      <c r="AF451">
        <v>0.33300000000000002</v>
      </c>
      <c r="AG451">
        <v>1.0820000000000001</v>
      </c>
      <c r="AH451">
        <v>0.749</v>
      </c>
      <c r="AI451">
        <v>-8.9999999999999993E-3</v>
      </c>
      <c r="AJ451">
        <v>-0.13100000000000001</v>
      </c>
      <c r="AK451">
        <v>-0.39</v>
      </c>
      <c r="AL451">
        <v>-0.379</v>
      </c>
      <c r="AM451">
        <v>-0.74199999999999999</v>
      </c>
      <c r="AN451">
        <v>-0.51100000000000001</v>
      </c>
      <c r="AO451">
        <v>-1.3759999999999999</v>
      </c>
      <c r="AP451">
        <v>-1.46</v>
      </c>
      <c r="AQ451">
        <v>-1.5289999999999999</v>
      </c>
      <c r="AR451">
        <v>-0.92100000000000004</v>
      </c>
      <c r="AS451">
        <v>-0.874</v>
      </c>
      <c r="AT451">
        <v>-0.879</v>
      </c>
      <c r="AU451">
        <v>-0.89600000000000002</v>
      </c>
      <c r="AV451">
        <v>-0.94399999999999995</v>
      </c>
      <c r="AW451">
        <v>-0.98799999999999999</v>
      </c>
    </row>
    <row r="452" spans="1:49" x14ac:dyDescent="0.35">
      <c r="A452" t="s">
        <v>184</v>
      </c>
      <c r="B452" t="s">
        <v>125</v>
      </c>
      <c r="C452" t="s">
        <v>126</v>
      </c>
      <c r="D452" t="s">
        <v>70</v>
      </c>
      <c r="F452" t="s">
        <v>128</v>
      </c>
      <c r="G452" t="s">
        <v>82</v>
      </c>
      <c r="H452" t="s">
        <v>82</v>
      </c>
      <c r="I452" t="s">
        <v>82</v>
      </c>
      <c r="J452" t="s">
        <v>82</v>
      </c>
      <c r="K452" t="s">
        <v>82</v>
      </c>
      <c r="L452" t="s">
        <v>82</v>
      </c>
      <c r="M452" t="s">
        <v>82</v>
      </c>
      <c r="N452" t="s">
        <v>82</v>
      </c>
      <c r="O452" t="s">
        <v>82</v>
      </c>
      <c r="P452" t="s">
        <v>82</v>
      </c>
      <c r="Q452">
        <v>0.97099999999999997</v>
      </c>
      <c r="R452">
        <v>3.6819999999999999</v>
      </c>
      <c r="S452">
        <v>1.651</v>
      </c>
      <c r="T452">
        <v>3.8119999999999998</v>
      </c>
      <c r="U452">
        <v>2.6230000000000002</v>
      </c>
      <c r="V452">
        <v>5.0220000000000002</v>
      </c>
      <c r="W452">
        <v>3.3130000000000002</v>
      </c>
      <c r="X452">
        <v>2.4860000000000002</v>
      </c>
      <c r="Y452">
        <v>5.0330000000000004</v>
      </c>
      <c r="Z452">
        <v>-0.81599999999999995</v>
      </c>
      <c r="AA452">
        <v>4.8970000000000002</v>
      </c>
      <c r="AB452">
        <v>0.29699999999999999</v>
      </c>
      <c r="AC452">
        <v>2.548</v>
      </c>
      <c r="AD452">
        <v>5.3879999999999999</v>
      </c>
      <c r="AE452">
        <v>6.7450000000000001</v>
      </c>
      <c r="AF452">
        <v>4.593</v>
      </c>
      <c r="AG452">
        <v>13.557</v>
      </c>
      <c r="AH452">
        <v>8.5779999999999994</v>
      </c>
      <c r="AI452">
        <v>-0.112</v>
      </c>
      <c r="AJ452">
        <v>-1.47</v>
      </c>
      <c r="AK452">
        <v>-3.4620000000000002</v>
      </c>
      <c r="AL452">
        <v>-3.0470000000000002</v>
      </c>
      <c r="AM452">
        <v>-5.7030000000000003</v>
      </c>
      <c r="AN452">
        <v>-4.0129999999999999</v>
      </c>
      <c r="AO452">
        <v>-10.753</v>
      </c>
      <c r="AP452">
        <v>-12.611000000000001</v>
      </c>
      <c r="AQ452">
        <v>-13.968999999999999</v>
      </c>
      <c r="AR452">
        <v>-7.3339999999999996</v>
      </c>
      <c r="AS452">
        <v>-6.5810000000000004</v>
      </c>
      <c r="AT452">
        <v>-6.2720000000000002</v>
      </c>
      <c r="AU452">
        <v>-6.0549999999999997</v>
      </c>
      <c r="AV452">
        <v>-6.06</v>
      </c>
      <c r="AW452">
        <v>-6.0250000000000004</v>
      </c>
    </row>
    <row r="453" spans="1:49" x14ac:dyDescent="0.35">
      <c r="A453" t="s">
        <v>191</v>
      </c>
      <c r="B453" t="s">
        <v>29</v>
      </c>
      <c r="C453" t="s">
        <v>30</v>
      </c>
      <c r="D453" t="s">
        <v>31</v>
      </c>
      <c r="E453" t="s">
        <v>32</v>
      </c>
      <c r="F453" t="s">
        <v>192</v>
      </c>
      <c r="G453">
        <v>2.355</v>
      </c>
      <c r="H453">
        <v>2.2639999999999998</v>
      </c>
      <c r="I453">
        <v>2.2170000000000001</v>
      </c>
      <c r="J453">
        <v>2.2029999999999998</v>
      </c>
      <c r="K453">
        <v>2.298</v>
      </c>
      <c r="L453">
        <v>2.5350000000000001</v>
      </c>
      <c r="M453">
        <v>2.5539999999999998</v>
      </c>
      <c r="N453">
        <v>2.6779999999999999</v>
      </c>
      <c r="O453">
        <v>2.8210000000000002</v>
      </c>
      <c r="P453">
        <v>3.1110000000000002</v>
      </c>
      <c r="Q453">
        <v>3.343</v>
      </c>
      <c r="R453">
        <v>3.4350000000000001</v>
      </c>
      <c r="S453">
        <v>3.6819999999999999</v>
      </c>
      <c r="T453">
        <v>3.9510000000000001</v>
      </c>
      <c r="U453">
        <v>3.8540000000000001</v>
      </c>
      <c r="V453">
        <v>3.8730000000000002</v>
      </c>
      <c r="W453">
        <v>4.26</v>
      </c>
      <c r="X453">
        <v>4.78</v>
      </c>
      <c r="Y453">
        <v>4.8979999999999997</v>
      </c>
      <c r="Z453">
        <v>4.99</v>
      </c>
      <c r="AA453">
        <v>5.202</v>
      </c>
      <c r="AB453">
        <v>5.0839999999999996</v>
      </c>
      <c r="AC453">
        <v>5.1449999999999996</v>
      </c>
      <c r="AD453">
        <v>4.8419999999999996</v>
      </c>
      <c r="AE453">
        <v>4.7039999999999997</v>
      </c>
      <c r="AF453">
        <v>5.1280000000000001</v>
      </c>
      <c r="AG453">
        <v>5.61</v>
      </c>
      <c r="AH453">
        <v>6.1950000000000003</v>
      </c>
      <c r="AI453">
        <v>6.0620000000000003</v>
      </c>
      <c r="AJ453">
        <v>5.9950000000000001</v>
      </c>
      <c r="AK453">
        <v>6.3520000000000003</v>
      </c>
      <c r="AL453">
        <v>6.6929999999999996</v>
      </c>
      <c r="AM453">
        <v>6.9390000000000001</v>
      </c>
      <c r="AN453">
        <v>7.3570000000000002</v>
      </c>
      <c r="AO453">
        <v>7.69</v>
      </c>
      <c r="AP453">
        <v>8.0730000000000004</v>
      </c>
      <c r="AQ453">
        <v>8.4350000000000005</v>
      </c>
      <c r="AR453">
        <v>8.7769999999999992</v>
      </c>
      <c r="AS453">
        <v>9.0719999999999992</v>
      </c>
      <c r="AT453">
        <v>9.3689999999999998</v>
      </c>
      <c r="AU453">
        <v>9.6769999999999996</v>
      </c>
      <c r="AV453">
        <v>10.071</v>
      </c>
      <c r="AW453">
        <v>10.474</v>
      </c>
    </row>
    <row r="454" spans="1:49" x14ac:dyDescent="0.35">
      <c r="A454" t="s">
        <v>191</v>
      </c>
      <c r="B454" t="s">
        <v>29</v>
      </c>
      <c r="C454" t="s">
        <v>34</v>
      </c>
      <c r="D454" t="s">
        <v>35</v>
      </c>
      <c r="F454" t="s">
        <v>36</v>
      </c>
      <c r="G454">
        <v>-2.2530000000000001</v>
      </c>
      <c r="H454">
        <v>-3.8769999999999998</v>
      </c>
      <c r="I454">
        <v>-2.0710000000000002</v>
      </c>
      <c r="J454">
        <v>-0.61599999999999999</v>
      </c>
      <c r="K454">
        <v>4.306</v>
      </c>
      <c r="L454">
        <v>10.294</v>
      </c>
      <c r="M454">
        <v>0.76200000000000001</v>
      </c>
      <c r="N454">
        <v>4.875</v>
      </c>
      <c r="O454">
        <v>5.3259999999999996</v>
      </c>
      <c r="P454">
        <v>10.286</v>
      </c>
      <c r="Q454">
        <v>7.4550000000000001</v>
      </c>
      <c r="R454">
        <v>2.76</v>
      </c>
      <c r="S454">
        <v>7.173</v>
      </c>
      <c r="T454">
        <v>7.3029999999999999</v>
      </c>
      <c r="U454">
        <v>-2.4369999999999998</v>
      </c>
      <c r="V454">
        <v>0.48499999999999999</v>
      </c>
      <c r="W454">
        <v>9.9979999999999993</v>
      </c>
      <c r="X454">
        <v>12.194000000000001</v>
      </c>
      <c r="Y454">
        <v>2.4670000000000001</v>
      </c>
      <c r="Z454">
        <v>1.8720000000000001</v>
      </c>
      <c r="AA454">
        <v>4.2530000000000001</v>
      </c>
      <c r="AB454">
        <v>-2.2709999999999999</v>
      </c>
      <c r="AC454">
        <v>1.2130000000000001</v>
      </c>
      <c r="AD454">
        <v>-5.8869999999999996</v>
      </c>
      <c r="AE454">
        <v>-2.85</v>
      </c>
      <c r="AF454">
        <v>9.0060000000000002</v>
      </c>
      <c r="AG454">
        <v>9.4060000000000006</v>
      </c>
      <c r="AH454">
        <v>10.417999999999999</v>
      </c>
      <c r="AI454">
        <v>-2.141</v>
      </c>
      <c r="AJ454">
        <v>-1.107</v>
      </c>
      <c r="AK454">
        <v>5.9450000000000003</v>
      </c>
      <c r="AL454">
        <v>5.3789999999999996</v>
      </c>
      <c r="AM454">
        <v>3.68</v>
      </c>
      <c r="AN454">
        <v>6.0179999999999998</v>
      </c>
      <c r="AO454">
        <v>4.5309999999999997</v>
      </c>
      <c r="AP454">
        <v>4.9749999999999996</v>
      </c>
      <c r="AQ454">
        <v>4.4820000000000002</v>
      </c>
      <c r="AR454">
        <v>4.0620000000000003</v>
      </c>
      <c r="AS454">
        <v>3.359</v>
      </c>
      <c r="AT454">
        <v>3.274</v>
      </c>
      <c r="AU454">
        <v>3.2839999999999998</v>
      </c>
      <c r="AV454">
        <v>4.077</v>
      </c>
      <c r="AW454">
        <v>3.9980000000000002</v>
      </c>
    </row>
    <row r="455" spans="1:49" x14ac:dyDescent="0.35">
      <c r="A455" t="s">
        <v>191</v>
      </c>
      <c r="B455" t="s">
        <v>37</v>
      </c>
      <c r="C455" t="s">
        <v>38</v>
      </c>
      <c r="D455" t="s">
        <v>31</v>
      </c>
      <c r="E455" t="s">
        <v>32</v>
      </c>
      <c r="F455" t="s">
        <v>192</v>
      </c>
      <c r="G455">
        <v>0.94199999999999995</v>
      </c>
      <c r="H455">
        <v>0.97199999999999998</v>
      </c>
      <c r="I455">
        <v>0.96799999999999997</v>
      </c>
      <c r="J455">
        <v>0.99299999999999999</v>
      </c>
      <c r="K455">
        <v>1.0680000000000001</v>
      </c>
      <c r="L455">
        <v>1.2050000000000001</v>
      </c>
      <c r="M455">
        <v>1.284</v>
      </c>
      <c r="N455">
        <v>1.3959999999999999</v>
      </c>
      <c r="O455">
        <v>1.528</v>
      </c>
      <c r="P455">
        <v>1.7210000000000001</v>
      </c>
      <c r="Q455">
        <v>1.9670000000000001</v>
      </c>
      <c r="R455">
        <v>1.98</v>
      </c>
      <c r="S455">
        <v>2.2210000000000001</v>
      </c>
      <c r="T455">
        <v>2.456</v>
      </c>
      <c r="U455">
        <v>2.4590000000000001</v>
      </c>
      <c r="V455">
        <v>2.42</v>
      </c>
      <c r="W455">
        <v>2.5</v>
      </c>
      <c r="X455">
        <v>2.83</v>
      </c>
      <c r="Y455">
        <v>3.2010000000000001</v>
      </c>
      <c r="Z455">
        <v>3.3279999999999998</v>
      </c>
      <c r="AA455">
        <v>3.5129999999999999</v>
      </c>
      <c r="AB455">
        <v>3.645</v>
      </c>
      <c r="AC455">
        <v>3.8220000000000001</v>
      </c>
      <c r="AD455">
        <v>3.8109999999999999</v>
      </c>
      <c r="AE455">
        <v>4.6159999999999997</v>
      </c>
      <c r="AF455">
        <v>5.0549999999999997</v>
      </c>
      <c r="AG455">
        <v>5.61</v>
      </c>
      <c r="AH455">
        <v>6.9260000000000002</v>
      </c>
      <c r="AI455">
        <v>9.1470000000000002</v>
      </c>
      <c r="AJ455">
        <v>11.532999999999999</v>
      </c>
      <c r="AK455">
        <v>11.705</v>
      </c>
      <c r="AL455">
        <v>12.609</v>
      </c>
      <c r="AM455">
        <v>14.519</v>
      </c>
      <c r="AN455">
        <v>16.015000000000001</v>
      </c>
      <c r="AO455">
        <v>17.119</v>
      </c>
      <c r="AP455">
        <v>18.335999999999999</v>
      </c>
      <c r="AQ455">
        <v>19.033000000000001</v>
      </c>
      <c r="AR455">
        <v>20.187999999999999</v>
      </c>
      <c r="AS455">
        <v>21.388000000000002</v>
      </c>
      <c r="AT455">
        <v>22.738</v>
      </c>
      <c r="AU455">
        <v>24.181999999999999</v>
      </c>
      <c r="AV455">
        <v>25.92</v>
      </c>
      <c r="AW455">
        <v>27.757000000000001</v>
      </c>
    </row>
    <row r="456" spans="1:49" x14ac:dyDescent="0.35">
      <c r="A456" t="s">
        <v>191</v>
      </c>
      <c r="B456" t="s">
        <v>37</v>
      </c>
      <c r="C456" t="s">
        <v>40</v>
      </c>
      <c r="D456" t="s">
        <v>41</v>
      </c>
      <c r="E456" t="s">
        <v>32</v>
      </c>
      <c r="F456" t="s">
        <v>42</v>
      </c>
      <c r="G456">
        <v>0.14699999999999999</v>
      </c>
      <c r="H456">
        <v>0.154</v>
      </c>
      <c r="I456">
        <v>0.14799999999999999</v>
      </c>
      <c r="J456">
        <v>0.14699999999999999</v>
      </c>
      <c r="K456">
        <v>0.151</v>
      </c>
      <c r="L456">
        <v>0.16900000000000001</v>
      </c>
      <c r="M456">
        <v>0.20799999999999999</v>
      </c>
      <c r="N456">
        <v>0.249</v>
      </c>
      <c r="O456">
        <v>0.28399999999999997</v>
      </c>
      <c r="P456">
        <v>0.30499999999999999</v>
      </c>
      <c r="Q456">
        <v>0.36899999999999999</v>
      </c>
      <c r="R456">
        <v>0.374</v>
      </c>
      <c r="S456">
        <v>0.434</v>
      </c>
      <c r="T456">
        <v>0.47399999999999998</v>
      </c>
      <c r="U456">
        <v>0.48599999999999999</v>
      </c>
      <c r="V456">
        <v>0.50800000000000001</v>
      </c>
      <c r="W456">
        <v>0.503</v>
      </c>
      <c r="X456">
        <v>0.56299999999999994</v>
      </c>
      <c r="Y456">
        <v>0.60799999999999998</v>
      </c>
      <c r="Z456">
        <v>0.623</v>
      </c>
      <c r="AA456">
        <v>0.61499999999999999</v>
      </c>
      <c r="AB456">
        <v>0.622</v>
      </c>
      <c r="AC456">
        <v>0.69799999999999995</v>
      </c>
      <c r="AD456">
        <v>0.70599999999999996</v>
      </c>
      <c r="AE456">
        <v>0.83899999999999997</v>
      </c>
      <c r="AF456">
        <v>0.91900000000000004</v>
      </c>
      <c r="AG456">
        <v>1.016</v>
      </c>
      <c r="AH456">
        <v>1.034</v>
      </c>
      <c r="AI456">
        <v>0.998</v>
      </c>
      <c r="AJ456">
        <v>0.84699999999999998</v>
      </c>
      <c r="AK456">
        <v>0.97</v>
      </c>
      <c r="AL456">
        <v>1.018</v>
      </c>
      <c r="AM456">
        <v>1.06</v>
      </c>
      <c r="AN456">
        <v>1.3280000000000001</v>
      </c>
      <c r="AO456">
        <v>1.343</v>
      </c>
      <c r="AP456">
        <v>1.377</v>
      </c>
      <c r="AQ456">
        <v>1.429</v>
      </c>
      <c r="AR456">
        <v>1.4790000000000001</v>
      </c>
      <c r="AS456">
        <v>1.5580000000000001</v>
      </c>
      <c r="AT456">
        <v>1.65</v>
      </c>
      <c r="AU456">
        <v>1.744</v>
      </c>
      <c r="AV456">
        <v>1.85</v>
      </c>
      <c r="AW456">
        <v>1.9530000000000001</v>
      </c>
    </row>
    <row r="457" spans="1:49" x14ac:dyDescent="0.35">
      <c r="A457" t="s">
        <v>191</v>
      </c>
      <c r="B457" t="s">
        <v>37</v>
      </c>
      <c r="C457" t="s">
        <v>43</v>
      </c>
      <c r="D457" t="s">
        <v>44</v>
      </c>
      <c r="E457" t="s">
        <v>32</v>
      </c>
      <c r="F457" t="s">
        <v>42</v>
      </c>
      <c r="G457">
        <v>0.28499999999999998</v>
      </c>
      <c r="H457">
        <v>0.29899999999999999</v>
      </c>
      <c r="I457">
        <v>0.311</v>
      </c>
      <c r="J457">
        <v>0.32200000000000001</v>
      </c>
      <c r="K457">
        <v>0.34699999999999998</v>
      </c>
      <c r="L457">
        <v>0.39500000000000002</v>
      </c>
      <c r="M457">
        <v>0.40600000000000003</v>
      </c>
      <c r="N457">
        <v>0.437</v>
      </c>
      <c r="O457">
        <v>0.47699999999999998</v>
      </c>
      <c r="P457">
        <v>0.54600000000000004</v>
      </c>
      <c r="Q457">
        <v>0.60799999999999998</v>
      </c>
      <c r="R457">
        <v>0.64600000000000002</v>
      </c>
      <c r="S457">
        <v>0.70799999999999996</v>
      </c>
      <c r="T457">
        <v>0.77800000000000002</v>
      </c>
      <c r="U457">
        <v>0.77500000000000002</v>
      </c>
      <c r="V457">
        <v>0.79500000000000004</v>
      </c>
      <c r="W457">
        <v>0.89100000000000001</v>
      </c>
      <c r="X457">
        <v>1.016</v>
      </c>
      <c r="Y457">
        <v>1.0529999999999999</v>
      </c>
      <c r="Z457">
        <v>1.089</v>
      </c>
      <c r="AA457">
        <v>1.161</v>
      </c>
      <c r="AB457">
        <v>1.1599999999999999</v>
      </c>
      <c r="AC457">
        <v>1.1930000000000001</v>
      </c>
      <c r="AD457">
        <v>1.145</v>
      </c>
      <c r="AE457">
        <v>1.143</v>
      </c>
      <c r="AF457">
        <v>1.286</v>
      </c>
      <c r="AG457">
        <v>1.45</v>
      </c>
      <c r="AH457">
        <v>1.643</v>
      </c>
      <c r="AI457">
        <v>1.64</v>
      </c>
      <c r="AJ457">
        <v>1.6339999999999999</v>
      </c>
      <c r="AK457">
        <v>1.752</v>
      </c>
      <c r="AL457">
        <v>1.885</v>
      </c>
      <c r="AM457">
        <v>1.99</v>
      </c>
      <c r="AN457">
        <v>2.1440000000000001</v>
      </c>
      <c r="AO457">
        <v>2.2810000000000001</v>
      </c>
      <c r="AP457">
        <v>2.4209999999999998</v>
      </c>
      <c r="AQ457">
        <v>2.5609999999999999</v>
      </c>
      <c r="AR457">
        <v>2.7120000000000002</v>
      </c>
      <c r="AS457">
        <v>2.8570000000000002</v>
      </c>
      <c r="AT457">
        <v>3.0139999999999998</v>
      </c>
      <c r="AU457">
        <v>3.1779999999999999</v>
      </c>
      <c r="AV457">
        <v>3.3769999999999998</v>
      </c>
      <c r="AW457">
        <v>3.5790000000000002</v>
      </c>
    </row>
    <row r="458" spans="1:49" x14ac:dyDescent="0.35">
      <c r="A458" t="s">
        <v>191</v>
      </c>
      <c r="B458" t="s">
        <v>45</v>
      </c>
      <c r="C458" t="s">
        <v>46</v>
      </c>
      <c r="D458" t="s">
        <v>47</v>
      </c>
      <c r="F458" t="s">
        <v>48</v>
      </c>
      <c r="G458">
        <v>39.996000000000002</v>
      </c>
      <c r="H458">
        <v>42.933999999999997</v>
      </c>
      <c r="I458">
        <v>43.674999999999997</v>
      </c>
      <c r="J458">
        <v>45.067</v>
      </c>
      <c r="K458">
        <v>46.478999999999999</v>
      </c>
      <c r="L458">
        <v>47.539000000000001</v>
      </c>
      <c r="M458">
        <v>50.271000000000001</v>
      </c>
      <c r="N458">
        <v>52.116999999999997</v>
      </c>
      <c r="O458">
        <v>54.164999999999999</v>
      </c>
      <c r="P458">
        <v>55.316000000000003</v>
      </c>
      <c r="Q458">
        <v>58.84</v>
      </c>
      <c r="R458">
        <v>57.637999999999998</v>
      </c>
      <c r="S458">
        <v>60.329000000000001</v>
      </c>
      <c r="T458">
        <v>62.155999999999999</v>
      </c>
      <c r="U458">
        <v>63.805999999999997</v>
      </c>
      <c r="V458">
        <v>62.484000000000002</v>
      </c>
      <c r="W458">
        <v>58.685000000000002</v>
      </c>
      <c r="X458">
        <v>59.198</v>
      </c>
      <c r="Y458">
        <v>65.361000000000004</v>
      </c>
      <c r="Z458">
        <v>66.706000000000003</v>
      </c>
      <c r="AA458">
        <v>67.540999999999997</v>
      </c>
      <c r="AB458">
        <v>71.698999999999998</v>
      </c>
      <c r="AC458">
        <v>74.290000000000006</v>
      </c>
      <c r="AD458">
        <v>78.707999999999998</v>
      </c>
      <c r="AE458">
        <v>98.128</v>
      </c>
      <c r="AF458">
        <v>98.578000000000003</v>
      </c>
      <c r="AG458">
        <v>100</v>
      </c>
      <c r="AH458">
        <v>111.81100000000001</v>
      </c>
      <c r="AI458">
        <v>150.88900000000001</v>
      </c>
      <c r="AJ458">
        <v>192.381</v>
      </c>
      <c r="AK458">
        <v>184.29400000000001</v>
      </c>
      <c r="AL458">
        <v>188.39</v>
      </c>
      <c r="AM458">
        <v>209.23099999999999</v>
      </c>
      <c r="AN458">
        <v>217.67699999999999</v>
      </c>
      <c r="AO458">
        <v>222.60599999999999</v>
      </c>
      <c r="AP458">
        <v>227.124</v>
      </c>
      <c r="AQ458">
        <v>225.64400000000001</v>
      </c>
      <c r="AR458">
        <v>229.994</v>
      </c>
      <c r="AS458">
        <v>235.75299999999999</v>
      </c>
      <c r="AT458">
        <v>242.68600000000001</v>
      </c>
      <c r="AU458">
        <v>249.89099999999999</v>
      </c>
      <c r="AV458">
        <v>257.36</v>
      </c>
      <c r="AW458">
        <v>265.01</v>
      </c>
    </row>
    <row r="459" spans="1:49" x14ac:dyDescent="0.35">
      <c r="A459" t="s">
        <v>191</v>
      </c>
      <c r="B459" t="s">
        <v>49</v>
      </c>
      <c r="C459" t="s">
        <v>50</v>
      </c>
      <c r="D459" t="s">
        <v>31</v>
      </c>
      <c r="E459" t="s">
        <v>26</v>
      </c>
      <c r="F459" t="s">
        <v>51</v>
      </c>
      <c r="G459" s="27">
        <v>37186.269999999997</v>
      </c>
      <c r="H459" s="27">
        <v>35186.120000000003</v>
      </c>
      <c r="I459" s="27">
        <v>34457.39</v>
      </c>
      <c r="J459" s="27">
        <v>34245.06</v>
      </c>
      <c r="K459" s="27">
        <v>35508.68</v>
      </c>
      <c r="L459" s="27">
        <v>38847.51</v>
      </c>
      <c r="M459" s="27">
        <v>38900.25</v>
      </c>
      <c r="N459" s="27">
        <v>39100.85</v>
      </c>
      <c r="O459" s="27">
        <v>41030.19</v>
      </c>
      <c r="P459" s="27">
        <v>44980.87</v>
      </c>
      <c r="Q459" s="27">
        <v>48097.66</v>
      </c>
      <c r="R459" s="27">
        <v>48771.4</v>
      </c>
      <c r="S459" s="27">
        <v>52030.46</v>
      </c>
      <c r="T459" s="27">
        <v>54679.11</v>
      </c>
      <c r="U459" s="27">
        <v>51943.5</v>
      </c>
      <c r="V459" s="27">
        <v>51433.69</v>
      </c>
      <c r="W459" s="27">
        <v>55751.99</v>
      </c>
      <c r="X459" s="27">
        <v>61820.480000000003</v>
      </c>
      <c r="Y459" s="27">
        <v>62119.05</v>
      </c>
      <c r="Z459" s="27">
        <v>62051.07</v>
      </c>
      <c r="AA459" s="27">
        <v>64115.33</v>
      </c>
      <c r="AB459" s="27">
        <v>62604.38</v>
      </c>
      <c r="AC459" s="27">
        <v>62198.62</v>
      </c>
      <c r="AD459" s="27">
        <v>58495.89</v>
      </c>
      <c r="AE459" s="27">
        <v>57039.34</v>
      </c>
      <c r="AF459" s="27">
        <v>61893.25</v>
      </c>
      <c r="AG459" s="27">
        <v>66315.88</v>
      </c>
      <c r="AH459" s="27">
        <v>72851.59</v>
      </c>
      <c r="AI459" s="27">
        <v>69715.59</v>
      </c>
      <c r="AJ459" s="27">
        <v>68673.62</v>
      </c>
      <c r="AK459" s="27">
        <v>70753.06</v>
      </c>
      <c r="AL459" s="27">
        <v>76544.490000000005</v>
      </c>
      <c r="AM459" s="27">
        <v>78586.28</v>
      </c>
      <c r="AN459" s="27">
        <v>81791.05</v>
      </c>
      <c r="AO459" s="27">
        <v>84177.38</v>
      </c>
      <c r="AP459" s="27">
        <v>86671.69</v>
      </c>
      <c r="AQ459" s="27">
        <v>89927.18</v>
      </c>
      <c r="AR459" s="27">
        <v>92929.43</v>
      </c>
      <c r="AS459" s="27">
        <v>94999.69</v>
      </c>
      <c r="AT459" s="27">
        <v>97182.080000000002</v>
      </c>
      <c r="AU459" s="27">
        <v>99545.13</v>
      </c>
      <c r="AV459" s="27">
        <v>102721.4</v>
      </c>
      <c r="AW459" s="27">
        <v>105885.56</v>
      </c>
    </row>
    <row r="460" spans="1:49" x14ac:dyDescent="0.35">
      <c r="A460" t="s">
        <v>191</v>
      </c>
      <c r="B460" t="s">
        <v>49</v>
      </c>
      <c r="C460" t="s">
        <v>52</v>
      </c>
      <c r="D460" t="s">
        <v>53</v>
      </c>
      <c r="E460" t="s">
        <v>26</v>
      </c>
      <c r="F460" t="s">
        <v>51</v>
      </c>
      <c r="G460" s="27">
        <v>10470.950000000001</v>
      </c>
      <c r="H460" s="27">
        <v>9907.75</v>
      </c>
      <c r="I460" s="27">
        <v>9702.56</v>
      </c>
      <c r="J460" s="27">
        <v>9642.77</v>
      </c>
      <c r="K460" s="27">
        <v>9998.58</v>
      </c>
      <c r="L460" s="27">
        <v>10938.73</v>
      </c>
      <c r="M460" s="27">
        <v>10953.58</v>
      </c>
      <c r="N460" s="27">
        <v>11010.07</v>
      </c>
      <c r="O460" s="27">
        <v>11553.33</v>
      </c>
      <c r="P460" s="27">
        <v>12665.77</v>
      </c>
      <c r="Q460" s="27">
        <v>13543.4</v>
      </c>
      <c r="R460" s="27">
        <v>13733.11</v>
      </c>
      <c r="S460" s="27">
        <v>14650.8</v>
      </c>
      <c r="T460" s="27">
        <v>15396.61</v>
      </c>
      <c r="U460" s="27">
        <v>14626.31</v>
      </c>
      <c r="V460" s="27">
        <v>14482.76</v>
      </c>
      <c r="W460" s="27">
        <v>15698.71</v>
      </c>
      <c r="X460" s="27">
        <v>17407.490000000002</v>
      </c>
      <c r="Y460" s="27">
        <v>17491.560000000001</v>
      </c>
      <c r="Z460" s="27">
        <v>17472.419999999998</v>
      </c>
      <c r="AA460" s="27">
        <v>18053.669999999998</v>
      </c>
      <c r="AB460" s="27">
        <v>17628.22</v>
      </c>
      <c r="AC460" s="27">
        <v>17513.96</v>
      </c>
      <c r="AD460" s="27">
        <v>16471.349999999999</v>
      </c>
      <c r="AE460" s="27">
        <v>16061.21</v>
      </c>
      <c r="AF460" s="27">
        <v>17427.98</v>
      </c>
      <c r="AG460" s="27">
        <v>18673.310000000001</v>
      </c>
      <c r="AH460" s="27">
        <v>20513.64</v>
      </c>
      <c r="AI460" s="27">
        <v>19630.599999999999</v>
      </c>
      <c r="AJ460" s="27">
        <v>19337.2</v>
      </c>
      <c r="AK460" s="27">
        <v>19922.73</v>
      </c>
      <c r="AL460" s="27">
        <v>21553.49</v>
      </c>
      <c r="AM460" s="27">
        <v>22128.42</v>
      </c>
      <c r="AN460" s="27">
        <v>23030.83</v>
      </c>
      <c r="AO460" s="27">
        <v>23702.77</v>
      </c>
      <c r="AP460" s="27">
        <v>24405.119999999999</v>
      </c>
      <c r="AQ460" s="27">
        <v>25321.81</v>
      </c>
      <c r="AR460" s="27">
        <v>26167.18</v>
      </c>
      <c r="AS460" s="27">
        <v>26750.13</v>
      </c>
      <c r="AT460" s="27">
        <v>27364.65</v>
      </c>
      <c r="AU460" s="27">
        <v>28030.04</v>
      </c>
      <c r="AV460" s="27">
        <v>28924.42</v>
      </c>
      <c r="AW460" s="27">
        <v>29815.39</v>
      </c>
    </row>
    <row r="461" spans="1:49" x14ac:dyDescent="0.35">
      <c r="A461" t="s">
        <v>191</v>
      </c>
      <c r="B461" t="s">
        <v>54</v>
      </c>
      <c r="C461" t="s">
        <v>55</v>
      </c>
      <c r="D461" t="s">
        <v>31</v>
      </c>
      <c r="E461" t="s">
        <v>26</v>
      </c>
      <c r="F461" t="s">
        <v>56</v>
      </c>
      <c r="G461" s="27">
        <v>14872.94</v>
      </c>
      <c r="H461" s="27">
        <v>15106.86</v>
      </c>
      <c r="I461" s="27">
        <v>15049.35</v>
      </c>
      <c r="J461" s="27">
        <v>15433.28</v>
      </c>
      <c r="K461" s="27">
        <v>16504.16</v>
      </c>
      <c r="L461" s="27">
        <v>18467.599999999999</v>
      </c>
      <c r="M461" s="27">
        <v>19555.38</v>
      </c>
      <c r="N461" s="27">
        <v>20378.36</v>
      </c>
      <c r="O461" s="27">
        <v>22224</v>
      </c>
      <c r="P461" s="27">
        <v>24881.81</v>
      </c>
      <c r="Q461" s="27">
        <v>28300.75</v>
      </c>
      <c r="R461" s="27">
        <v>28110.85</v>
      </c>
      <c r="S461" s="27">
        <v>31389.29</v>
      </c>
      <c r="T461" s="27">
        <v>33986.129999999997</v>
      </c>
      <c r="U461" s="27">
        <v>33143.32</v>
      </c>
      <c r="V461" s="27">
        <v>32137.74</v>
      </c>
      <c r="W461" s="27">
        <v>32717.85</v>
      </c>
      <c r="X461" s="27">
        <v>36596.44</v>
      </c>
      <c r="Y461" s="27">
        <v>40601.93</v>
      </c>
      <c r="Z461" s="27">
        <v>41391.620000000003</v>
      </c>
      <c r="AA461" s="27">
        <v>43304.04</v>
      </c>
      <c r="AB461" s="27">
        <v>44886.83</v>
      </c>
      <c r="AC461" s="27">
        <v>46207.22</v>
      </c>
      <c r="AD461" s="27">
        <v>46040.76</v>
      </c>
      <c r="AE461" s="27">
        <v>55971.62</v>
      </c>
      <c r="AF461" s="27">
        <v>61013.23</v>
      </c>
      <c r="AG461" s="27">
        <v>66315.88</v>
      </c>
      <c r="AH461" s="27">
        <v>81456.08</v>
      </c>
      <c r="AI461" s="27">
        <v>105192.96000000001</v>
      </c>
      <c r="AJ461" s="27">
        <v>132115.29999999999</v>
      </c>
      <c r="AK461" s="27">
        <v>130393.31</v>
      </c>
      <c r="AL461" s="27">
        <v>144202.09</v>
      </c>
      <c r="AM461" s="27">
        <v>164426.72</v>
      </c>
      <c r="AN461" s="27">
        <v>178040.07</v>
      </c>
      <c r="AO461" s="27">
        <v>187383.69</v>
      </c>
      <c r="AP461" s="27">
        <v>196852.34</v>
      </c>
      <c r="AQ461" s="27">
        <v>202915.36</v>
      </c>
      <c r="AR461" s="27">
        <v>213732.55</v>
      </c>
      <c r="AS461" s="27">
        <v>223964.47</v>
      </c>
      <c r="AT461" s="27">
        <v>235847.42</v>
      </c>
      <c r="AU461" s="27">
        <v>248754.27</v>
      </c>
      <c r="AV461" s="27">
        <v>264363.34999999998</v>
      </c>
      <c r="AW461" s="27">
        <v>280607.26</v>
      </c>
    </row>
    <row r="462" spans="1:49" x14ac:dyDescent="0.35">
      <c r="A462" t="s">
        <v>191</v>
      </c>
      <c r="B462" t="s">
        <v>54</v>
      </c>
      <c r="C462" t="s">
        <v>57</v>
      </c>
      <c r="D462" t="s">
        <v>41</v>
      </c>
      <c r="E462" t="s">
        <v>26</v>
      </c>
      <c r="F462" t="s">
        <v>56</v>
      </c>
      <c r="G462" s="27">
        <v>2326.8200000000002</v>
      </c>
      <c r="H462" s="27">
        <v>2392.25</v>
      </c>
      <c r="I462" s="27">
        <v>2296.7199999999998</v>
      </c>
      <c r="J462" s="27">
        <v>2280.4499999999998</v>
      </c>
      <c r="K462" s="27">
        <v>2338.08</v>
      </c>
      <c r="L462" s="27">
        <v>2588.5500000000002</v>
      </c>
      <c r="M462" s="27">
        <v>3165.95</v>
      </c>
      <c r="N462" s="27">
        <v>3638.99</v>
      </c>
      <c r="O462" s="27">
        <v>4128.12</v>
      </c>
      <c r="P462" s="27">
        <v>4407.2</v>
      </c>
      <c r="Q462" s="27">
        <v>5302.84</v>
      </c>
      <c r="R462" s="27">
        <v>5314.66</v>
      </c>
      <c r="S462" s="27">
        <v>6128.35</v>
      </c>
      <c r="T462" s="27">
        <v>6559.09</v>
      </c>
      <c r="U462" s="27">
        <v>6555.43</v>
      </c>
      <c r="V462" s="27">
        <v>6748.83</v>
      </c>
      <c r="W462" s="27">
        <v>6583.09</v>
      </c>
      <c r="X462" s="27">
        <v>7280.93</v>
      </c>
      <c r="Y462" s="27">
        <v>7715.78</v>
      </c>
      <c r="Z462" s="27">
        <v>7747.49</v>
      </c>
      <c r="AA462" s="27">
        <v>7578.83</v>
      </c>
      <c r="AB462" s="27">
        <v>7663.08</v>
      </c>
      <c r="AC462" s="27">
        <v>8431.92</v>
      </c>
      <c r="AD462" s="27">
        <v>8524.94</v>
      </c>
      <c r="AE462" s="27">
        <v>10176.66</v>
      </c>
      <c r="AF462" s="27">
        <v>11093.31</v>
      </c>
      <c r="AG462" s="27">
        <v>12014.42</v>
      </c>
      <c r="AH462" s="27">
        <v>12155.7</v>
      </c>
      <c r="AI462" s="27">
        <v>11480.43</v>
      </c>
      <c r="AJ462" s="27">
        <v>9707.27</v>
      </c>
      <c r="AK462" s="27">
        <v>10805.1</v>
      </c>
      <c r="AL462" s="27">
        <v>11647.02</v>
      </c>
      <c r="AM462" s="27">
        <v>11999.9</v>
      </c>
      <c r="AN462" s="27">
        <v>14762.22</v>
      </c>
      <c r="AO462" s="27">
        <v>14701.37</v>
      </c>
      <c r="AP462" s="27">
        <v>14782.72</v>
      </c>
      <c r="AQ462" s="27">
        <v>15234</v>
      </c>
      <c r="AR462" s="27">
        <v>15658.06</v>
      </c>
      <c r="AS462" s="27">
        <v>16312.56</v>
      </c>
      <c r="AT462" s="27">
        <v>17116.34</v>
      </c>
      <c r="AU462" s="27">
        <v>17943.98</v>
      </c>
      <c r="AV462" s="27">
        <v>18871.810000000001</v>
      </c>
      <c r="AW462" s="27">
        <v>19743.96</v>
      </c>
    </row>
    <row r="463" spans="1:49" x14ac:dyDescent="0.35">
      <c r="A463" t="s">
        <v>191</v>
      </c>
      <c r="B463" t="s">
        <v>54</v>
      </c>
      <c r="C463" t="s">
        <v>58</v>
      </c>
      <c r="D463" t="s">
        <v>44</v>
      </c>
      <c r="E463" t="s">
        <v>26</v>
      </c>
      <c r="F463" t="s">
        <v>56</v>
      </c>
      <c r="G463" s="27">
        <v>4497.74</v>
      </c>
      <c r="H463" s="27">
        <v>4653.1899999999996</v>
      </c>
      <c r="I463" s="27">
        <v>4839.55</v>
      </c>
      <c r="J463" s="27">
        <v>4999.59</v>
      </c>
      <c r="K463" s="27">
        <v>5368.05</v>
      </c>
      <c r="L463" s="27">
        <v>6060.74</v>
      </c>
      <c r="M463" s="27">
        <v>6191.32</v>
      </c>
      <c r="N463" s="27">
        <v>6382.08</v>
      </c>
      <c r="O463" s="27">
        <v>6931.42</v>
      </c>
      <c r="P463" s="27">
        <v>7894.32</v>
      </c>
      <c r="Q463" s="27">
        <v>8753.5499999999993</v>
      </c>
      <c r="R463" s="27">
        <v>9171.61</v>
      </c>
      <c r="S463" s="27">
        <v>10007.540000000001</v>
      </c>
      <c r="T463" s="27">
        <v>10767.18</v>
      </c>
      <c r="U463" s="27">
        <v>10446.200000000001</v>
      </c>
      <c r="V463" s="27">
        <v>10559.39</v>
      </c>
      <c r="W463" s="27">
        <v>11654.84</v>
      </c>
      <c r="X463" s="27">
        <v>13144.72</v>
      </c>
      <c r="Y463" s="27">
        <v>13351.52</v>
      </c>
      <c r="Z463" s="27">
        <v>13541.02</v>
      </c>
      <c r="AA463" s="27">
        <v>14309.84</v>
      </c>
      <c r="AB463" s="27">
        <v>14291.05</v>
      </c>
      <c r="AC463" s="27">
        <v>14416.4</v>
      </c>
      <c r="AD463" s="27">
        <v>13828.53</v>
      </c>
      <c r="AE463" s="27">
        <v>13855</v>
      </c>
      <c r="AF463" s="27">
        <v>15517.71</v>
      </c>
      <c r="AG463" s="27">
        <v>17137.43</v>
      </c>
      <c r="AH463" s="27">
        <v>19327.36</v>
      </c>
      <c r="AI463" s="27">
        <v>18858.2</v>
      </c>
      <c r="AJ463" s="27">
        <v>18717.41</v>
      </c>
      <c r="AK463" s="27">
        <v>19519.79</v>
      </c>
      <c r="AL463" s="27">
        <v>21553.49</v>
      </c>
      <c r="AM463" s="27">
        <v>22536.05</v>
      </c>
      <c r="AN463" s="27">
        <v>23833.86</v>
      </c>
      <c r="AO463" s="27">
        <v>24969.48</v>
      </c>
      <c r="AP463" s="27">
        <v>25988.13</v>
      </c>
      <c r="AQ463" s="27">
        <v>27308.31</v>
      </c>
      <c r="AR463" s="27">
        <v>28711.61</v>
      </c>
      <c r="AS463" s="27">
        <v>29920.93</v>
      </c>
      <c r="AT463" s="27">
        <v>31261.47</v>
      </c>
      <c r="AU463" s="27">
        <v>32695.17</v>
      </c>
      <c r="AV463" s="27">
        <v>34439.1</v>
      </c>
      <c r="AW463" s="27">
        <v>36183.040000000001</v>
      </c>
    </row>
    <row r="464" spans="1:49" x14ac:dyDescent="0.35">
      <c r="A464" t="s">
        <v>191</v>
      </c>
      <c r="B464" t="s">
        <v>59</v>
      </c>
      <c r="C464" t="s">
        <v>60</v>
      </c>
      <c r="D464" t="s">
        <v>61</v>
      </c>
    </row>
    <row r="465" spans="1:49" x14ac:dyDescent="0.35">
      <c r="A465" t="s">
        <v>191</v>
      </c>
      <c r="B465" t="s">
        <v>62</v>
      </c>
      <c r="C465" t="s">
        <v>63</v>
      </c>
      <c r="D465" t="s">
        <v>64</v>
      </c>
      <c r="F465" t="s">
        <v>42</v>
      </c>
      <c r="G465">
        <v>2E-3</v>
      </c>
      <c r="H465">
        <v>2E-3</v>
      </c>
      <c r="I465">
        <v>2E-3</v>
      </c>
      <c r="J465">
        <v>2E-3</v>
      </c>
      <c r="K465">
        <v>2E-3</v>
      </c>
      <c r="L465">
        <v>2E-3</v>
      </c>
      <c r="M465">
        <v>2E-3</v>
      </c>
      <c r="N465">
        <v>2E-3</v>
      </c>
      <c r="O465">
        <v>2E-3</v>
      </c>
      <c r="P465">
        <v>2E-3</v>
      </c>
      <c r="Q465">
        <v>2E-3</v>
      </c>
      <c r="R465">
        <v>2E-3</v>
      </c>
      <c r="S465">
        <v>2E-3</v>
      </c>
      <c r="T465">
        <v>2E-3</v>
      </c>
      <c r="U465">
        <v>2E-3</v>
      </c>
      <c r="V465">
        <v>2E-3</v>
      </c>
      <c r="W465">
        <v>2E-3</v>
      </c>
      <c r="X465">
        <v>2E-3</v>
      </c>
      <c r="Y465">
        <v>2E-3</v>
      </c>
      <c r="Z465">
        <v>2E-3</v>
      </c>
      <c r="AA465">
        <v>2E-3</v>
      </c>
      <c r="AB465">
        <v>2E-3</v>
      </c>
      <c r="AC465">
        <v>2E-3</v>
      </c>
      <c r="AD465">
        <v>2E-3</v>
      </c>
      <c r="AE465">
        <v>2E-3</v>
      </c>
      <c r="AF465">
        <v>2E-3</v>
      </c>
      <c r="AG465">
        <v>2E-3</v>
      </c>
      <c r="AH465">
        <v>2E-3</v>
      </c>
      <c r="AI465">
        <v>2E-3</v>
      </c>
      <c r="AJ465">
        <v>2E-3</v>
      </c>
      <c r="AK465">
        <v>2E-3</v>
      </c>
      <c r="AL465">
        <v>2E-3</v>
      </c>
      <c r="AM465">
        <v>2E-3</v>
      </c>
      <c r="AN465">
        <v>2E-3</v>
      </c>
      <c r="AO465">
        <v>2E-3</v>
      </c>
      <c r="AP465">
        <v>2E-3</v>
      </c>
      <c r="AQ465">
        <v>2E-3</v>
      </c>
      <c r="AR465">
        <v>2E-3</v>
      </c>
      <c r="AS465">
        <v>2E-3</v>
      </c>
      <c r="AT465">
        <v>2E-3</v>
      </c>
      <c r="AU465">
        <v>2E-3</v>
      </c>
      <c r="AV465">
        <v>2E-3</v>
      </c>
      <c r="AW465">
        <v>2E-3</v>
      </c>
    </row>
    <row r="466" spans="1:49" x14ac:dyDescent="0.35">
      <c r="A466" t="s">
        <v>191</v>
      </c>
      <c r="B466" t="s">
        <v>65</v>
      </c>
      <c r="C466" t="s">
        <v>66</v>
      </c>
      <c r="D466" t="s">
        <v>67</v>
      </c>
      <c r="F466" t="s">
        <v>42</v>
      </c>
      <c r="G466">
        <v>3.3069999999999999</v>
      </c>
      <c r="H466">
        <v>3.2469999999999999</v>
      </c>
      <c r="I466">
        <v>3.11</v>
      </c>
      <c r="J466">
        <v>3.0870000000000002</v>
      </c>
      <c r="K466">
        <v>3.0750000000000002</v>
      </c>
      <c r="L466">
        <v>3.0470000000000002</v>
      </c>
      <c r="M466">
        <v>3.1589999999999998</v>
      </c>
      <c r="N466">
        <v>3.1930000000000001</v>
      </c>
      <c r="O466">
        <v>3.206</v>
      </c>
      <c r="P466">
        <v>3.1520000000000001</v>
      </c>
      <c r="Q466">
        <v>3.2330000000000001</v>
      </c>
      <c r="R466">
        <v>3.0649999999999999</v>
      </c>
      <c r="S466">
        <v>3.137</v>
      </c>
      <c r="T466">
        <v>3.1560000000000001</v>
      </c>
      <c r="U466">
        <v>3.173</v>
      </c>
      <c r="V466">
        <v>3.044</v>
      </c>
      <c r="W466">
        <v>2.8069999999999999</v>
      </c>
      <c r="X466">
        <v>2.7839999999999998</v>
      </c>
      <c r="Y466">
        <v>3.0409999999999999</v>
      </c>
      <c r="Z466">
        <v>3.0569999999999999</v>
      </c>
      <c r="AA466">
        <v>3.0259999999999998</v>
      </c>
      <c r="AB466">
        <v>3.141</v>
      </c>
      <c r="AC466">
        <v>3.2050000000000001</v>
      </c>
      <c r="AD466">
        <v>3.3290000000000002</v>
      </c>
      <c r="AE466">
        <v>4.04</v>
      </c>
      <c r="AF466">
        <v>3.9319999999999999</v>
      </c>
      <c r="AG466">
        <v>3.87</v>
      </c>
      <c r="AH466">
        <v>4.2149999999999999</v>
      </c>
      <c r="AI466">
        <v>5.5780000000000003</v>
      </c>
      <c r="AJ466">
        <v>7.0579999999999998</v>
      </c>
      <c r="AK466">
        <v>6.68</v>
      </c>
      <c r="AL466">
        <v>6.69</v>
      </c>
      <c r="AM466">
        <v>7.2960000000000003</v>
      </c>
      <c r="AN466">
        <v>7.47</v>
      </c>
      <c r="AO466">
        <v>7.5049999999999999</v>
      </c>
      <c r="AP466">
        <v>7.5750000000000002</v>
      </c>
      <c r="AQ466">
        <v>7.431</v>
      </c>
      <c r="AR466">
        <v>7.444</v>
      </c>
      <c r="AS466">
        <v>7.4850000000000003</v>
      </c>
      <c r="AT466">
        <v>7.5439999999999996</v>
      </c>
      <c r="AU466">
        <v>7.6079999999999997</v>
      </c>
      <c r="AV466">
        <v>7.6760000000000002</v>
      </c>
      <c r="AW466">
        <v>7.7549999999999999</v>
      </c>
    </row>
    <row r="467" spans="1:49" x14ac:dyDescent="0.35">
      <c r="A467" t="s">
        <v>191</v>
      </c>
      <c r="B467" t="s">
        <v>68</v>
      </c>
      <c r="C467" t="s">
        <v>69</v>
      </c>
      <c r="D467" t="s">
        <v>70</v>
      </c>
      <c r="F467" t="s">
        <v>192</v>
      </c>
      <c r="G467">
        <v>64.98</v>
      </c>
      <c r="H467">
        <v>-8.6289999999999996</v>
      </c>
      <c r="I467">
        <v>44.988999999999997</v>
      </c>
      <c r="J467">
        <v>14.201000000000001</v>
      </c>
      <c r="K467">
        <v>15.907</v>
      </c>
      <c r="L467">
        <v>16.375</v>
      </c>
      <c r="M467">
        <v>18.623999999999999</v>
      </c>
      <c r="N467">
        <v>29.744</v>
      </c>
      <c r="O467">
        <v>30.262</v>
      </c>
      <c r="P467">
        <v>29.635000000000002</v>
      </c>
      <c r="Q467">
        <v>30.466999999999999</v>
      </c>
      <c r="R467">
        <v>17.829000000000001</v>
      </c>
      <c r="S467">
        <v>21.538</v>
      </c>
      <c r="T467">
        <v>26.207999999999998</v>
      </c>
      <c r="U467">
        <v>35.487000000000002</v>
      </c>
      <c r="V467">
        <v>30.324999999999999</v>
      </c>
      <c r="W467">
        <v>39.844999999999999</v>
      </c>
      <c r="X467">
        <v>28.053000000000001</v>
      </c>
      <c r="Y467">
        <v>33.996000000000002</v>
      </c>
      <c r="Z467">
        <v>30.771999999999998</v>
      </c>
      <c r="AA467">
        <v>27.565000000000001</v>
      </c>
      <c r="AB467">
        <v>21.454000000000001</v>
      </c>
      <c r="AC467">
        <v>27.62</v>
      </c>
      <c r="AD467">
        <v>10.901999999999999</v>
      </c>
      <c r="AE467">
        <v>21.079000000000001</v>
      </c>
      <c r="AF467">
        <v>35.744999999999997</v>
      </c>
      <c r="AG467">
        <v>30.445</v>
      </c>
      <c r="AH467">
        <v>29.015000000000001</v>
      </c>
      <c r="AI467">
        <v>26.904</v>
      </c>
      <c r="AJ467">
        <v>27.274999999999999</v>
      </c>
      <c r="AK467">
        <v>36.622</v>
      </c>
      <c r="AL467">
        <v>35.406999999999996</v>
      </c>
      <c r="AM467">
        <v>38.106000000000002</v>
      </c>
      <c r="AN467">
        <v>38.457000000000001</v>
      </c>
      <c r="AO467">
        <v>37.692999999999998</v>
      </c>
      <c r="AP467">
        <v>33.789000000000001</v>
      </c>
      <c r="AQ467">
        <v>30.216000000000001</v>
      </c>
      <c r="AR467">
        <v>32.177</v>
      </c>
      <c r="AS467">
        <v>32.680999999999997</v>
      </c>
      <c r="AT467">
        <v>32.514000000000003</v>
      </c>
      <c r="AU467">
        <v>34.238</v>
      </c>
      <c r="AV467">
        <v>33.994999999999997</v>
      </c>
      <c r="AW467">
        <v>35.168999999999997</v>
      </c>
    </row>
    <row r="468" spans="1:49" x14ac:dyDescent="0.35">
      <c r="A468" t="s">
        <v>191</v>
      </c>
      <c r="B468" t="s">
        <v>71</v>
      </c>
      <c r="C468" t="s">
        <v>72</v>
      </c>
      <c r="D468" t="s">
        <v>70</v>
      </c>
      <c r="F468" t="s">
        <v>192</v>
      </c>
      <c r="G468">
        <v>11.531000000000001</v>
      </c>
      <c r="H468">
        <v>9.5839999999999996</v>
      </c>
      <c r="I468">
        <v>1.208</v>
      </c>
      <c r="J468">
        <v>-3.5550000000000002</v>
      </c>
      <c r="K468">
        <v>7.1239999999999997</v>
      </c>
      <c r="L468">
        <v>5.0060000000000002</v>
      </c>
      <c r="M468">
        <v>2.605</v>
      </c>
      <c r="N468">
        <v>21.274000000000001</v>
      </c>
      <c r="O468">
        <v>20.251999999999999</v>
      </c>
      <c r="P468">
        <v>16.626999999999999</v>
      </c>
      <c r="Q468">
        <v>26.946999999999999</v>
      </c>
      <c r="R468">
        <v>15.647</v>
      </c>
      <c r="S468">
        <v>19.946000000000002</v>
      </c>
      <c r="T468">
        <v>28.027999999999999</v>
      </c>
      <c r="U468">
        <v>41.939</v>
      </c>
      <c r="V468">
        <v>30.603999999999999</v>
      </c>
      <c r="W468">
        <v>29.425000000000001</v>
      </c>
      <c r="X468">
        <v>16.312999999999999</v>
      </c>
      <c r="Y468">
        <v>16.526</v>
      </c>
      <c r="Z468">
        <v>12.03</v>
      </c>
      <c r="AA468">
        <v>20.584</v>
      </c>
      <c r="AB468">
        <v>-3.1429999999999998</v>
      </c>
      <c r="AC468">
        <v>13.101000000000001</v>
      </c>
      <c r="AD468">
        <v>9.5760000000000005</v>
      </c>
      <c r="AE468">
        <v>13.891999999999999</v>
      </c>
      <c r="AF468">
        <v>16.806000000000001</v>
      </c>
      <c r="AG468">
        <v>17.285</v>
      </c>
      <c r="AH468">
        <v>18.242000000000001</v>
      </c>
      <c r="AI468">
        <v>7.827</v>
      </c>
      <c r="AJ468">
        <v>12.438000000000001</v>
      </c>
      <c r="AK468">
        <v>17.241</v>
      </c>
      <c r="AL468">
        <v>12.449</v>
      </c>
      <c r="AM468">
        <v>16.969000000000001</v>
      </c>
      <c r="AN468">
        <v>26.512</v>
      </c>
      <c r="AO468">
        <v>14.582000000000001</v>
      </c>
      <c r="AP468">
        <v>15.205</v>
      </c>
      <c r="AQ468">
        <v>11.818</v>
      </c>
      <c r="AR468">
        <v>16.603999999999999</v>
      </c>
      <c r="AS468">
        <v>18.105</v>
      </c>
      <c r="AT468">
        <v>18.268999999999998</v>
      </c>
      <c r="AU468">
        <v>20.286000000000001</v>
      </c>
      <c r="AV468">
        <v>19.029</v>
      </c>
      <c r="AW468">
        <v>20.725000000000001</v>
      </c>
    </row>
    <row r="469" spans="1:49" x14ac:dyDescent="0.35">
      <c r="A469" t="s">
        <v>191</v>
      </c>
      <c r="B469" t="s">
        <v>73</v>
      </c>
      <c r="C469" t="s">
        <v>74</v>
      </c>
      <c r="D469" t="s">
        <v>47</v>
      </c>
      <c r="F469" t="s">
        <v>193</v>
      </c>
      <c r="G469">
        <v>24.876999999999999</v>
      </c>
      <c r="H469">
        <v>27.492000000000001</v>
      </c>
      <c r="I469">
        <v>27.257000000000001</v>
      </c>
      <c r="J469">
        <v>29.05</v>
      </c>
      <c r="K469">
        <v>29.391999999999999</v>
      </c>
      <c r="L469">
        <v>29.564</v>
      </c>
      <c r="M469">
        <v>30.273</v>
      </c>
      <c r="N469">
        <v>30.952000000000002</v>
      </c>
      <c r="O469">
        <v>31.1</v>
      </c>
      <c r="P469">
        <v>32.134</v>
      </c>
      <c r="Q469">
        <v>33.404000000000003</v>
      </c>
      <c r="R469">
        <v>34.082999999999998</v>
      </c>
      <c r="S469">
        <v>34.771000000000001</v>
      </c>
      <c r="T469">
        <v>34.654000000000003</v>
      </c>
      <c r="U469">
        <v>35.427</v>
      </c>
      <c r="V469">
        <v>35.606000000000002</v>
      </c>
      <c r="W469">
        <v>34.872999999999998</v>
      </c>
      <c r="X469">
        <v>35.502000000000002</v>
      </c>
      <c r="Y469">
        <v>36.46</v>
      </c>
      <c r="Z469">
        <v>38.756999999999998</v>
      </c>
      <c r="AA469">
        <v>41.198999999999998</v>
      </c>
      <c r="AB469">
        <v>43.670999999999999</v>
      </c>
      <c r="AC469">
        <v>43.758000000000003</v>
      </c>
      <c r="AD469">
        <v>45.201999999999998</v>
      </c>
      <c r="AE469">
        <v>46.965000000000003</v>
      </c>
      <c r="AF469">
        <v>47.27</v>
      </c>
      <c r="AG469">
        <v>46.390999999999998</v>
      </c>
      <c r="AH469">
        <v>48.860999999999997</v>
      </c>
      <c r="AI469">
        <v>66.923000000000002</v>
      </c>
      <c r="AJ469">
        <v>88.174000000000007</v>
      </c>
      <c r="AK469">
        <v>86.054000000000002</v>
      </c>
      <c r="AL469">
        <v>88.256</v>
      </c>
      <c r="AM469">
        <v>94.531000000000006</v>
      </c>
      <c r="AN469">
        <v>98.632999999999996</v>
      </c>
      <c r="AO469">
        <v>100</v>
      </c>
      <c r="AP469">
        <v>104.042</v>
      </c>
      <c r="AQ469">
        <v>102.98699999999999</v>
      </c>
      <c r="AR469">
        <v>105.89</v>
      </c>
      <c r="AS469">
        <v>108.331</v>
      </c>
      <c r="AT469">
        <v>111.84</v>
      </c>
      <c r="AU469">
        <v>115.15300000000001</v>
      </c>
      <c r="AV469">
        <v>118.59099999999999</v>
      </c>
      <c r="AW469">
        <v>122.113</v>
      </c>
    </row>
    <row r="470" spans="1:49" x14ac:dyDescent="0.35">
      <c r="A470" t="s">
        <v>191</v>
      </c>
      <c r="B470" t="s">
        <v>73</v>
      </c>
      <c r="C470" t="s">
        <v>76</v>
      </c>
      <c r="D470" t="s">
        <v>35</v>
      </c>
      <c r="F470" t="s">
        <v>77</v>
      </c>
      <c r="G470">
        <v>13.516</v>
      </c>
      <c r="H470">
        <v>10.512</v>
      </c>
      <c r="I470">
        <v>-0.85399999999999998</v>
      </c>
      <c r="J470">
        <v>6.577</v>
      </c>
      <c r="K470">
        <v>1.179</v>
      </c>
      <c r="L470">
        <v>0.58499999999999996</v>
      </c>
      <c r="M470">
        <v>2.3969999999999998</v>
      </c>
      <c r="N470">
        <v>2.2440000000000002</v>
      </c>
      <c r="O470">
        <v>0.47799999999999998</v>
      </c>
      <c r="P470">
        <v>3.323</v>
      </c>
      <c r="Q470">
        <v>3.952</v>
      </c>
      <c r="R470">
        <v>2.032</v>
      </c>
      <c r="S470">
        <v>2.02</v>
      </c>
      <c r="T470">
        <v>-0.33600000000000002</v>
      </c>
      <c r="U470">
        <v>2.2290000000000001</v>
      </c>
      <c r="V470">
        <v>0.505</v>
      </c>
      <c r="W470">
        <v>-2.0590000000000002</v>
      </c>
      <c r="X470">
        <v>1.804</v>
      </c>
      <c r="Y470">
        <v>2.7</v>
      </c>
      <c r="Z470">
        <v>6.3</v>
      </c>
      <c r="AA470">
        <v>6.3</v>
      </c>
      <c r="AB470">
        <v>6</v>
      </c>
      <c r="AC470">
        <v>0.2</v>
      </c>
      <c r="AD470">
        <v>3.3</v>
      </c>
      <c r="AE470">
        <v>3.9</v>
      </c>
      <c r="AF470">
        <v>0.64800000000000002</v>
      </c>
      <c r="AG470">
        <v>-1.8580000000000001</v>
      </c>
      <c r="AH470">
        <v>5.3239999999999998</v>
      </c>
      <c r="AI470">
        <v>36.965000000000003</v>
      </c>
      <c r="AJ470">
        <v>31.754000000000001</v>
      </c>
      <c r="AK470">
        <v>-2.4049999999999998</v>
      </c>
      <c r="AL470">
        <v>2.5590000000000002</v>
      </c>
      <c r="AM470">
        <v>7.11</v>
      </c>
      <c r="AN470">
        <v>4.3390000000000004</v>
      </c>
      <c r="AO470">
        <v>1.3859999999999999</v>
      </c>
      <c r="AP470">
        <v>4.0419999999999998</v>
      </c>
      <c r="AQ470">
        <v>-1.014</v>
      </c>
      <c r="AR470">
        <v>2.8180000000000001</v>
      </c>
      <c r="AS470">
        <v>2.306</v>
      </c>
      <c r="AT470">
        <v>3.2389999999999999</v>
      </c>
      <c r="AU470">
        <v>2.9630000000000001</v>
      </c>
      <c r="AV470">
        <v>2.9849999999999999</v>
      </c>
      <c r="AW470">
        <v>2.97</v>
      </c>
    </row>
    <row r="471" spans="1:49" x14ac:dyDescent="0.35">
      <c r="A471" t="s">
        <v>191</v>
      </c>
      <c r="B471" t="s">
        <v>78</v>
      </c>
      <c r="C471" t="s">
        <v>79</v>
      </c>
      <c r="D471" t="s">
        <v>47</v>
      </c>
      <c r="F471" t="s">
        <v>193</v>
      </c>
      <c r="G471" t="s">
        <v>82</v>
      </c>
      <c r="H471" t="s">
        <v>82</v>
      </c>
      <c r="I471">
        <v>28.154</v>
      </c>
      <c r="J471">
        <v>29.221</v>
      </c>
      <c r="K471">
        <v>29.478000000000002</v>
      </c>
      <c r="L471">
        <v>29.919</v>
      </c>
      <c r="M471">
        <v>30.613</v>
      </c>
      <c r="N471">
        <v>31.026</v>
      </c>
      <c r="O471">
        <v>31.617000000000001</v>
      </c>
      <c r="P471">
        <v>32.768999999999998</v>
      </c>
      <c r="Q471">
        <v>33.743000000000002</v>
      </c>
      <c r="R471">
        <v>34.427</v>
      </c>
      <c r="S471">
        <v>34.713000000000001</v>
      </c>
      <c r="T471">
        <v>35.040999999999997</v>
      </c>
      <c r="U471">
        <v>35.515999999999998</v>
      </c>
      <c r="V471">
        <v>35.238999999999997</v>
      </c>
      <c r="W471">
        <v>35.186999999999998</v>
      </c>
      <c r="X471">
        <v>35.981000000000002</v>
      </c>
      <c r="Y471">
        <v>37.609000000000002</v>
      </c>
      <c r="Z471">
        <v>39.978000000000002</v>
      </c>
      <c r="AA471">
        <v>42.435000000000002</v>
      </c>
      <c r="AB471">
        <v>43.715000000000003</v>
      </c>
      <c r="AC471">
        <v>44.48</v>
      </c>
      <c r="AD471">
        <v>46.084000000000003</v>
      </c>
      <c r="AE471">
        <v>46.914000000000001</v>
      </c>
      <c r="AF471">
        <v>46.185000000000002</v>
      </c>
      <c r="AG471">
        <v>46.283999999999999</v>
      </c>
      <c r="AH471">
        <v>54.034999999999997</v>
      </c>
      <c r="AI471">
        <v>88.212999999999994</v>
      </c>
      <c r="AJ471">
        <v>85.974000000000004</v>
      </c>
      <c r="AK471">
        <v>86.305999999999997</v>
      </c>
      <c r="AL471">
        <v>91.063000000000002</v>
      </c>
      <c r="AM471">
        <v>96.341999999999999</v>
      </c>
      <c r="AN471">
        <v>99.635999999999996</v>
      </c>
      <c r="AO471">
        <v>100.158</v>
      </c>
      <c r="AP471">
        <v>103.327</v>
      </c>
      <c r="AQ471">
        <v>103.104</v>
      </c>
      <c r="AR471">
        <v>106.24299999999999</v>
      </c>
      <c r="AS471">
        <v>109.657</v>
      </c>
      <c r="AT471">
        <v>112.991</v>
      </c>
      <c r="AU471">
        <v>116.497</v>
      </c>
      <c r="AV471">
        <v>120.02800000000001</v>
      </c>
      <c r="AW471">
        <v>123.617</v>
      </c>
    </row>
    <row r="472" spans="1:49" x14ac:dyDescent="0.35">
      <c r="A472" t="s">
        <v>191</v>
      </c>
      <c r="B472" t="s">
        <v>78</v>
      </c>
      <c r="C472" t="s">
        <v>80</v>
      </c>
      <c r="D472" t="s">
        <v>35</v>
      </c>
      <c r="F472" t="s">
        <v>81</v>
      </c>
      <c r="G472" t="s">
        <v>82</v>
      </c>
      <c r="H472" t="s">
        <v>82</v>
      </c>
      <c r="I472" t="s">
        <v>82</v>
      </c>
      <c r="J472">
        <v>3.7919999999999998</v>
      </c>
      <c r="K472">
        <v>0.88</v>
      </c>
      <c r="L472">
        <v>1.494</v>
      </c>
      <c r="M472">
        <v>2.3199999999999998</v>
      </c>
      <c r="N472">
        <v>1.351</v>
      </c>
      <c r="O472">
        <v>1.9039999999999999</v>
      </c>
      <c r="P472">
        <v>3.6429999999999998</v>
      </c>
      <c r="Q472">
        <v>2.9740000000000002</v>
      </c>
      <c r="R472">
        <v>2.0259999999999998</v>
      </c>
      <c r="S472">
        <v>0.83</v>
      </c>
      <c r="T472">
        <v>0.94499999999999995</v>
      </c>
      <c r="U472">
        <v>1.3580000000000001</v>
      </c>
      <c r="V472">
        <v>-0.78</v>
      </c>
      <c r="W472">
        <v>-0.14799999999999999</v>
      </c>
      <c r="X472">
        <v>2.2559999999999998</v>
      </c>
      <c r="Y472">
        <v>4.524</v>
      </c>
      <c r="Z472">
        <v>6.3</v>
      </c>
      <c r="AA472">
        <v>6.1449999999999996</v>
      </c>
      <c r="AB472">
        <v>3.016</v>
      </c>
      <c r="AC472">
        <v>1.752</v>
      </c>
      <c r="AD472">
        <v>3.605</v>
      </c>
      <c r="AE472">
        <v>1.802</v>
      </c>
      <c r="AF472">
        <v>-1.5549999999999999</v>
      </c>
      <c r="AG472">
        <v>0.214</v>
      </c>
      <c r="AH472">
        <v>16.748000000000001</v>
      </c>
      <c r="AI472">
        <v>63.252000000000002</v>
      </c>
      <c r="AJ472">
        <v>-2.5379999999999998</v>
      </c>
      <c r="AK472">
        <v>0.38600000000000001</v>
      </c>
      <c r="AL472">
        <v>5.5119999999999996</v>
      </c>
      <c r="AM472">
        <v>5.7969999999999997</v>
      </c>
      <c r="AN472">
        <v>3.419</v>
      </c>
      <c r="AO472">
        <v>0.52400000000000002</v>
      </c>
      <c r="AP472">
        <v>3.1629999999999998</v>
      </c>
      <c r="AQ472">
        <v>-0.215</v>
      </c>
      <c r="AR472">
        <v>3.0449999999999999</v>
      </c>
      <c r="AS472">
        <v>3.2130000000000001</v>
      </c>
      <c r="AT472">
        <v>3.0409999999999999</v>
      </c>
      <c r="AU472">
        <v>3.1030000000000002</v>
      </c>
      <c r="AV472">
        <v>3.0310000000000001</v>
      </c>
      <c r="AW472">
        <v>2.99</v>
      </c>
    </row>
    <row r="473" spans="1:49" x14ac:dyDescent="0.35">
      <c r="A473" t="s">
        <v>191</v>
      </c>
      <c r="B473" t="s">
        <v>83</v>
      </c>
      <c r="D473" t="s">
        <v>64</v>
      </c>
    </row>
    <row r="474" spans="1:49" x14ac:dyDescent="0.35">
      <c r="A474" t="s">
        <v>191</v>
      </c>
      <c r="B474" t="s">
        <v>84</v>
      </c>
      <c r="C474" t="s">
        <v>85</v>
      </c>
      <c r="D474" t="s">
        <v>35</v>
      </c>
      <c r="F474" t="s">
        <v>194</v>
      </c>
      <c r="G474">
        <v>-1.4430000000000001</v>
      </c>
      <c r="H474">
        <v>6.6239999999999997</v>
      </c>
      <c r="I474">
        <v>-3.8069999999999999</v>
      </c>
      <c r="J474">
        <v>-3.7829999999999999</v>
      </c>
      <c r="K474">
        <v>-5.2930000000000001</v>
      </c>
      <c r="L474">
        <v>9.5</v>
      </c>
      <c r="M474">
        <v>4.2220000000000004</v>
      </c>
      <c r="N474">
        <v>98.796000000000006</v>
      </c>
      <c r="O474">
        <v>-13.016999999999999</v>
      </c>
      <c r="P474">
        <v>-3.2360000000000002</v>
      </c>
      <c r="Q474">
        <v>1.927</v>
      </c>
      <c r="R474">
        <v>9.1170000000000009</v>
      </c>
      <c r="S474">
        <v>6.4790000000000001</v>
      </c>
      <c r="T474">
        <v>18.315000000000001</v>
      </c>
      <c r="U474">
        <v>-12.023999999999999</v>
      </c>
      <c r="V474">
        <v>5.1580000000000004</v>
      </c>
      <c r="W474">
        <v>18.728000000000002</v>
      </c>
      <c r="X474">
        <v>21.433</v>
      </c>
      <c r="Y474">
        <v>28.667999999999999</v>
      </c>
      <c r="Z474">
        <v>-3.3029999999999999</v>
      </c>
      <c r="AA474">
        <v>-16.265000000000001</v>
      </c>
      <c r="AB474">
        <v>35.343000000000004</v>
      </c>
      <c r="AC474">
        <v>-8.0670000000000002</v>
      </c>
      <c r="AD474">
        <v>-6.6210000000000004</v>
      </c>
      <c r="AE474">
        <v>-0.246</v>
      </c>
      <c r="AF474">
        <v>17.742999999999999</v>
      </c>
      <c r="AG474">
        <v>3.081</v>
      </c>
      <c r="AH474">
        <v>-13.510999999999999</v>
      </c>
      <c r="AI474">
        <v>-1.7070000000000001</v>
      </c>
      <c r="AJ474">
        <v>5.0890000000000004</v>
      </c>
      <c r="AK474">
        <v>-5.2530000000000001</v>
      </c>
      <c r="AL474">
        <v>-0.88200000000000001</v>
      </c>
      <c r="AM474">
        <v>9.0399999999999991</v>
      </c>
      <c r="AN474">
        <v>6.1440000000000001</v>
      </c>
      <c r="AO474">
        <v>20.902000000000001</v>
      </c>
      <c r="AP474">
        <v>7.1269999999999998</v>
      </c>
      <c r="AQ474">
        <v>11.557</v>
      </c>
      <c r="AR474">
        <v>-0.40300000000000002</v>
      </c>
      <c r="AS474">
        <v>3.2839999999999998</v>
      </c>
      <c r="AT474">
        <v>3.2250000000000001</v>
      </c>
      <c r="AU474">
        <v>4.5010000000000003</v>
      </c>
      <c r="AV474">
        <v>5.2309999999999999</v>
      </c>
      <c r="AW474">
        <v>3.23</v>
      </c>
    </row>
    <row r="475" spans="1:49" x14ac:dyDescent="0.35">
      <c r="A475" t="s">
        <v>191</v>
      </c>
      <c r="B475" t="s">
        <v>87</v>
      </c>
      <c r="C475" t="s">
        <v>88</v>
      </c>
      <c r="D475" t="s">
        <v>35</v>
      </c>
      <c r="F475" t="s">
        <v>194</v>
      </c>
      <c r="G475">
        <v>-3.4470000000000001</v>
      </c>
      <c r="H475">
        <v>4.2839999999999998</v>
      </c>
      <c r="I475">
        <v>-3.2570000000000001</v>
      </c>
      <c r="J475">
        <v>33.253999999999998</v>
      </c>
      <c r="K475">
        <v>0.97599999999999998</v>
      </c>
      <c r="L475">
        <v>11.414</v>
      </c>
      <c r="M475">
        <v>-12.516999999999999</v>
      </c>
      <c r="N475">
        <v>-6.2160000000000002</v>
      </c>
      <c r="O475">
        <v>30.154</v>
      </c>
      <c r="P475">
        <v>6.34</v>
      </c>
      <c r="Q475">
        <v>4.2009999999999996</v>
      </c>
      <c r="R475">
        <v>-6.7450000000000001</v>
      </c>
      <c r="S475">
        <v>10.693</v>
      </c>
      <c r="T475">
        <v>41.795000000000002</v>
      </c>
      <c r="U475">
        <v>-13.193</v>
      </c>
      <c r="V475">
        <v>5.2759999999999998</v>
      </c>
      <c r="W475">
        <v>18.556000000000001</v>
      </c>
      <c r="X475">
        <v>22.201000000000001</v>
      </c>
      <c r="Y475">
        <v>30.405000000000001</v>
      </c>
      <c r="Z475">
        <v>-2.7229999999999999</v>
      </c>
      <c r="AA475">
        <v>-23.74</v>
      </c>
      <c r="AB475">
        <v>45.445999999999998</v>
      </c>
      <c r="AC475">
        <v>-11.769</v>
      </c>
      <c r="AD475">
        <v>-9.9909999999999997</v>
      </c>
      <c r="AE475">
        <v>8.0879999999999992</v>
      </c>
      <c r="AF475">
        <v>24.966000000000001</v>
      </c>
      <c r="AG475">
        <v>1.304</v>
      </c>
      <c r="AH475">
        <v>-12.581</v>
      </c>
      <c r="AI475">
        <v>3.0670000000000002</v>
      </c>
      <c r="AJ475">
        <v>2.5640000000000001</v>
      </c>
      <c r="AK475">
        <v>-6.72</v>
      </c>
      <c r="AL475">
        <v>2.5249999999999999</v>
      </c>
      <c r="AM475">
        <v>5.4039999999999999</v>
      </c>
      <c r="AN475">
        <v>8.1869999999999994</v>
      </c>
      <c r="AO475">
        <v>8.5960000000000001</v>
      </c>
      <c r="AP475">
        <v>1.9430000000000001</v>
      </c>
      <c r="AQ475">
        <v>12.906000000000001</v>
      </c>
      <c r="AR475">
        <v>0.51400000000000001</v>
      </c>
      <c r="AS475">
        <v>3.891</v>
      </c>
      <c r="AT475">
        <v>4.375</v>
      </c>
      <c r="AU475">
        <v>4.6440000000000001</v>
      </c>
      <c r="AV475">
        <v>6.5030000000000001</v>
      </c>
      <c r="AW475">
        <v>3.258</v>
      </c>
    </row>
    <row r="476" spans="1:49" x14ac:dyDescent="0.35">
      <c r="A476" t="s">
        <v>191</v>
      </c>
      <c r="B476" t="s">
        <v>89</v>
      </c>
      <c r="C476" t="s">
        <v>90</v>
      </c>
      <c r="D476" t="s">
        <v>35</v>
      </c>
      <c r="F476" t="s">
        <v>194</v>
      </c>
      <c r="G476">
        <v>-1.387</v>
      </c>
      <c r="H476">
        <v>8.0519999999999996</v>
      </c>
      <c r="I476">
        <v>0.79600000000000004</v>
      </c>
      <c r="J476">
        <v>-90.596999999999994</v>
      </c>
      <c r="K476">
        <v>-25.582999999999998</v>
      </c>
      <c r="L476">
        <v>2.274</v>
      </c>
      <c r="M476">
        <v>-2.7170000000000001</v>
      </c>
      <c r="N476">
        <v>244.86799999999999</v>
      </c>
      <c r="O476">
        <v>110.19199999999999</v>
      </c>
      <c r="P476">
        <v>-2.4119999999999999</v>
      </c>
      <c r="Q476">
        <v>-1.3560000000000001</v>
      </c>
      <c r="R476">
        <v>-2.12</v>
      </c>
      <c r="S476">
        <v>12.93</v>
      </c>
      <c r="T476">
        <v>35.097999999999999</v>
      </c>
      <c r="U476">
        <v>-2.1</v>
      </c>
      <c r="V476">
        <v>3.51</v>
      </c>
      <c r="W476">
        <v>-6.8929999999999998</v>
      </c>
      <c r="X476">
        <v>15.305</v>
      </c>
      <c r="Y476">
        <v>15.653</v>
      </c>
      <c r="Z476">
        <v>3.2229999999999999</v>
      </c>
      <c r="AA476">
        <v>-4.3959999999999999</v>
      </c>
      <c r="AB476">
        <v>13.096</v>
      </c>
      <c r="AC476">
        <v>7.2409999999999997</v>
      </c>
      <c r="AD476">
        <v>4.3239999999999998</v>
      </c>
      <c r="AE476">
        <v>-11.275</v>
      </c>
      <c r="AF476">
        <v>-1.653</v>
      </c>
      <c r="AG476">
        <v>7.9710000000000001</v>
      </c>
      <c r="AH476">
        <v>4.0570000000000004</v>
      </c>
      <c r="AI476">
        <v>-9.8659999999999997</v>
      </c>
      <c r="AJ476">
        <v>7.7050000000000001</v>
      </c>
      <c r="AK476">
        <v>-11.199</v>
      </c>
      <c r="AL476">
        <v>-0.96799999999999997</v>
      </c>
      <c r="AM476">
        <v>6.9009999999999998</v>
      </c>
      <c r="AN476">
        <v>15.186</v>
      </c>
      <c r="AO476">
        <v>12.054</v>
      </c>
      <c r="AP476">
        <v>14.987</v>
      </c>
      <c r="AQ476">
        <v>13.319000000000001</v>
      </c>
      <c r="AR476">
        <v>3.238</v>
      </c>
      <c r="AS476">
        <v>4.1470000000000002</v>
      </c>
      <c r="AT476">
        <v>2.4470000000000001</v>
      </c>
      <c r="AU476">
        <v>3.1909999999999998</v>
      </c>
      <c r="AV476">
        <v>3.1869999999999998</v>
      </c>
      <c r="AW476">
        <v>3.55</v>
      </c>
    </row>
    <row r="477" spans="1:49" x14ac:dyDescent="0.35">
      <c r="A477" t="s">
        <v>191</v>
      </c>
      <c r="B477" t="s">
        <v>91</v>
      </c>
      <c r="C477" t="s">
        <v>92</v>
      </c>
      <c r="D477" t="s">
        <v>35</v>
      </c>
      <c r="F477" t="s">
        <v>194</v>
      </c>
      <c r="G477">
        <v>-5.9960000000000004</v>
      </c>
      <c r="H477">
        <v>-21.497</v>
      </c>
      <c r="I477">
        <v>1.4370000000000001</v>
      </c>
      <c r="J477">
        <v>39.276000000000003</v>
      </c>
      <c r="K477">
        <v>-25.398</v>
      </c>
      <c r="L477">
        <v>1.736</v>
      </c>
      <c r="M477">
        <v>-2.625</v>
      </c>
      <c r="N477">
        <v>244.20500000000001</v>
      </c>
      <c r="O477">
        <v>110.298</v>
      </c>
      <c r="P477">
        <v>9.8309999999999995</v>
      </c>
      <c r="Q477">
        <v>0.20699999999999999</v>
      </c>
      <c r="R477">
        <v>-10.833</v>
      </c>
      <c r="S477">
        <v>-1.47</v>
      </c>
      <c r="T477">
        <v>10.116</v>
      </c>
      <c r="U477">
        <v>6.0279999999999996</v>
      </c>
      <c r="V477">
        <v>-5.0439999999999996</v>
      </c>
      <c r="W477">
        <v>67.691999999999993</v>
      </c>
      <c r="X477">
        <v>22.486000000000001</v>
      </c>
      <c r="Y477">
        <v>24.584</v>
      </c>
      <c r="Z477">
        <v>7.2460000000000004</v>
      </c>
      <c r="AA477">
        <v>12.263999999999999</v>
      </c>
      <c r="AB477">
        <v>18.597000000000001</v>
      </c>
      <c r="AC477">
        <v>8.8719999999999999</v>
      </c>
      <c r="AD477">
        <v>12.611000000000001</v>
      </c>
      <c r="AE477">
        <v>-8.3109999999999999</v>
      </c>
      <c r="AF477">
        <v>-1.6E-2</v>
      </c>
      <c r="AG477">
        <v>9.4120000000000008</v>
      </c>
      <c r="AH477">
        <v>-10.41</v>
      </c>
      <c r="AI477">
        <v>-5.2359999999999998</v>
      </c>
      <c r="AJ477">
        <v>13.885</v>
      </c>
      <c r="AK477">
        <v>-17.206</v>
      </c>
      <c r="AL477">
        <v>5.1909999999999998</v>
      </c>
      <c r="AM477">
        <v>14.782</v>
      </c>
      <c r="AN477">
        <v>14.906000000000001</v>
      </c>
      <c r="AO477">
        <v>-12.118</v>
      </c>
      <c r="AP477">
        <v>1.466</v>
      </c>
      <c r="AQ477">
        <v>12.294</v>
      </c>
      <c r="AR477">
        <v>2.4180000000000001</v>
      </c>
      <c r="AS477">
        <v>4.149</v>
      </c>
      <c r="AT477">
        <v>4.25</v>
      </c>
      <c r="AU477">
        <v>5.1310000000000002</v>
      </c>
      <c r="AV477">
        <v>4.9400000000000004</v>
      </c>
      <c r="AW477">
        <v>4.992</v>
      </c>
    </row>
    <row r="478" spans="1:49" x14ac:dyDescent="0.35">
      <c r="A478" t="s">
        <v>191</v>
      </c>
      <c r="B478" t="s">
        <v>93</v>
      </c>
      <c r="C478" t="s">
        <v>94</v>
      </c>
      <c r="D478" t="s">
        <v>95</v>
      </c>
      <c r="F478" t="s">
        <v>195</v>
      </c>
      <c r="G478" t="s">
        <v>82</v>
      </c>
      <c r="H478" t="s">
        <v>82</v>
      </c>
      <c r="I478" t="s">
        <v>82</v>
      </c>
      <c r="J478" t="s">
        <v>82</v>
      </c>
      <c r="K478" t="s">
        <v>82</v>
      </c>
      <c r="L478" t="s">
        <v>82</v>
      </c>
      <c r="M478" t="s">
        <v>82</v>
      </c>
      <c r="N478" t="s">
        <v>82</v>
      </c>
      <c r="O478" t="s">
        <v>82</v>
      </c>
      <c r="P478" t="s">
        <v>82</v>
      </c>
      <c r="Q478" t="s">
        <v>82</v>
      </c>
      <c r="R478" t="s">
        <v>82</v>
      </c>
      <c r="S478" t="s">
        <v>82</v>
      </c>
      <c r="T478" t="s">
        <v>82</v>
      </c>
      <c r="U478" t="s">
        <v>82</v>
      </c>
      <c r="V478">
        <v>7.7</v>
      </c>
      <c r="W478">
        <v>7.452</v>
      </c>
      <c r="X478">
        <v>6.7569999999999997</v>
      </c>
      <c r="Y478">
        <v>4.2110000000000003</v>
      </c>
      <c r="Z478">
        <v>3.1720000000000002</v>
      </c>
      <c r="AA478">
        <v>3.1120000000000001</v>
      </c>
      <c r="AB478">
        <v>4.4119999999999999</v>
      </c>
      <c r="AC478">
        <v>4.0640000000000001</v>
      </c>
      <c r="AD478">
        <v>3.1509999999999998</v>
      </c>
      <c r="AE478">
        <v>3.5310000000000001</v>
      </c>
      <c r="AF478">
        <v>3.6240000000000001</v>
      </c>
      <c r="AG478">
        <v>2.5110000000000001</v>
      </c>
      <c r="AH478">
        <v>1.863</v>
      </c>
      <c r="AI478">
        <v>1.716</v>
      </c>
      <c r="AJ478">
        <v>5.1360000000000001</v>
      </c>
      <c r="AK478">
        <v>4.6050000000000004</v>
      </c>
      <c r="AL478">
        <v>4.13</v>
      </c>
      <c r="AM478">
        <v>3.7050000000000001</v>
      </c>
      <c r="AN478">
        <v>3.3250000000000002</v>
      </c>
      <c r="AO478">
        <v>2.9830000000000001</v>
      </c>
      <c r="AP478">
        <v>2.6840000000000002</v>
      </c>
      <c r="AQ478">
        <v>2.6840000000000002</v>
      </c>
      <c r="AR478">
        <v>3</v>
      </c>
      <c r="AS478">
        <v>3</v>
      </c>
      <c r="AT478">
        <v>3</v>
      </c>
      <c r="AU478">
        <v>3</v>
      </c>
      <c r="AV478">
        <v>3</v>
      </c>
      <c r="AW478">
        <v>3</v>
      </c>
    </row>
    <row r="479" spans="1:49" x14ac:dyDescent="0.35">
      <c r="A479" t="s">
        <v>191</v>
      </c>
      <c r="B479" t="s">
        <v>96</v>
      </c>
      <c r="C479" t="s">
        <v>97</v>
      </c>
      <c r="D479" t="s">
        <v>98</v>
      </c>
      <c r="E479" t="s">
        <v>99</v>
      </c>
    </row>
    <row r="480" spans="1:49" x14ac:dyDescent="0.35">
      <c r="A480" t="s">
        <v>191</v>
      </c>
      <c r="B480" t="s">
        <v>100</v>
      </c>
      <c r="C480" t="s">
        <v>101</v>
      </c>
      <c r="D480" t="s">
        <v>98</v>
      </c>
      <c r="E480" t="s">
        <v>99</v>
      </c>
      <c r="F480" t="s">
        <v>196</v>
      </c>
      <c r="G480">
        <v>6.3E-2</v>
      </c>
      <c r="H480">
        <v>6.4000000000000001E-2</v>
      </c>
      <c r="I480">
        <v>6.4000000000000001E-2</v>
      </c>
      <c r="J480">
        <v>6.4000000000000001E-2</v>
      </c>
      <c r="K480">
        <v>6.5000000000000002E-2</v>
      </c>
      <c r="L480">
        <v>6.5000000000000002E-2</v>
      </c>
      <c r="M480">
        <v>6.6000000000000003E-2</v>
      </c>
      <c r="N480">
        <v>6.8000000000000005E-2</v>
      </c>
      <c r="O480">
        <v>6.9000000000000006E-2</v>
      </c>
      <c r="P480">
        <v>6.9000000000000006E-2</v>
      </c>
      <c r="Q480">
        <v>7.0000000000000007E-2</v>
      </c>
      <c r="R480">
        <v>7.0000000000000007E-2</v>
      </c>
      <c r="S480">
        <v>7.0999999999999994E-2</v>
      </c>
      <c r="T480">
        <v>7.1999999999999995E-2</v>
      </c>
      <c r="U480">
        <v>7.3999999999999996E-2</v>
      </c>
      <c r="V480">
        <v>7.4999999999999997E-2</v>
      </c>
      <c r="W480">
        <v>7.5999999999999998E-2</v>
      </c>
      <c r="X480">
        <v>7.6999999999999999E-2</v>
      </c>
      <c r="Y480">
        <v>7.9000000000000001E-2</v>
      </c>
      <c r="Z480">
        <v>0.08</v>
      </c>
      <c r="AA480">
        <v>8.1000000000000003E-2</v>
      </c>
      <c r="AB480">
        <v>8.1000000000000003E-2</v>
      </c>
      <c r="AC480">
        <v>8.3000000000000004E-2</v>
      </c>
      <c r="AD480">
        <v>8.3000000000000004E-2</v>
      </c>
      <c r="AE480">
        <v>8.2000000000000003E-2</v>
      </c>
      <c r="AF480">
        <v>8.3000000000000004E-2</v>
      </c>
      <c r="AG480">
        <v>8.5000000000000006E-2</v>
      </c>
      <c r="AH480">
        <v>8.5000000000000006E-2</v>
      </c>
      <c r="AI480">
        <v>8.6999999999999994E-2</v>
      </c>
      <c r="AJ480">
        <v>8.6999999999999994E-2</v>
      </c>
      <c r="AK480">
        <v>0.09</v>
      </c>
      <c r="AL480">
        <v>8.6999999999999994E-2</v>
      </c>
      <c r="AM480">
        <v>8.7999999999999995E-2</v>
      </c>
      <c r="AN480">
        <v>0.09</v>
      </c>
      <c r="AO480">
        <v>9.0999999999999998E-2</v>
      </c>
      <c r="AP480">
        <v>9.2999999999999999E-2</v>
      </c>
      <c r="AQ480">
        <v>9.4E-2</v>
      </c>
      <c r="AR480">
        <v>9.4E-2</v>
      </c>
      <c r="AS480">
        <v>9.5000000000000001E-2</v>
      </c>
      <c r="AT480">
        <v>9.6000000000000002E-2</v>
      </c>
      <c r="AU480">
        <v>9.7000000000000003E-2</v>
      </c>
      <c r="AV480">
        <v>9.8000000000000004E-2</v>
      </c>
      <c r="AW480">
        <v>9.9000000000000005E-2</v>
      </c>
    </row>
    <row r="481" spans="1:49" x14ac:dyDescent="0.35">
      <c r="A481" t="s">
        <v>191</v>
      </c>
      <c r="B481" t="s">
        <v>103</v>
      </c>
      <c r="C481" t="s">
        <v>104</v>
      </c>
      <c r="D481" t="s">
        <v>31</v>
      </c>
      <c r="E481" t="s">
        <v>32</v>
      </c>
      <c r="F481" t="s">
        <v>197</v>
      </c>
      <c r="G481" t="s">
        <v>82</v>
      </c>
      <c r="H481" t="s">
        <v>82</v>
      </c>
      <c r="I481" t="s">
        <v>82</v>
      </c>
      <c r="J481">
        <v>0.44500000000000001</v>
      </c>
      <c r="K481">
        <v>0.47499999999999998</v>
      </c>
      <c r="L481">
        <v>0.58099999999999996</v>
      </c>
      <c r="M481">
        <v>0.61599999999999999</v>
      </c>
      <c r="N481">
        <v>0.73299999999999998</v>
      </c>
      <c r="O481">
        <v>0.89500000000000002</v>
      </c>
      <c r="P481">
        <v>1.0309999999999999</v>
      </c>
      <c r="Q481">
        <v>1.1399999999999999</v>
      </c>
      <c r="R481">
        <v>1.0940000000000001</v>
      </c>
      <c r="S481">
        <v>1.27</v>
      </c>
      <c r="T481">
        <v>1.393</v>
      </c>
      <c r="U481">
        <v>1.395</v>
      </c>
      <c r="V481">
        <v>1.2230000000000001</v>
      </c>
      <c r="W481">
        <v>1.236</v>
      </c>
      <c r="X481">
        <v>1.3819999999999999</v>
      </c>
      <c r="Y481">
        <v>1.409</v>
      </c>
      <c r="Z481">
        <v>1.526</v>
      </c>
      <c r="AA481">
        <v>1.429</v>
      </c>
      <c r="AB481">
        <v>1.3819999999999999</v>
      </c>
      <c r="AC481">
        <v>1.5309999999999999</v>
      </c>
      <c r="AD481">
        <v>1.83</v>
      </c>
      <c r="AE481">
        <v>1.8620000000000001</v>
      </c>
      <c r="AF481">
        <v>1.992</v>
      </c>
      <c r="AG481">
        <v>2.3010000000000002</v>
      </c>
      <c r="AH481">
        <v>2.214</v>
      </c>
      <c r="AI481">
        <v>3.19</v>
      </c>
      <c r="AJ481">
        <v>4.2619999999999996</v>
      </c>
      <c r="AK481">
        <v>4.1079999999999997</v>
      </c>
      <c r="AL481">
        <v>5.0140000000000002</v>
      </c>
      <c r="AM481">
        <v>6.024</v>
      </c>
      <c r="AN481">
        <v>6.1109999999999998</v>
      </c>
      <c r="AO481">
        <v>6.4130000000000003</v>
      </c>
      <c r="AP481">
        <v>6.2759999999999998</v>
      </c>
      <c r="AQ481">
        <v>7.2050000000000001</v>
      </c>
      <c r="AR481">
        <v>8.23</v>
      </c>
      <c r="AS481">
        <v>8.3569999999999993</v>
      </c>
      <c r="AT481">
        <v>8.7539999999999996</v>
      </c>
      <c r="AU481">
        <v>9.1389999999999993</v>
      </c>
      <c r="AV481">
        <v>9.8190000000000008</v>
      </c>
      <c r="AW481">
        <v>10.497999999999999</v>
      </c>
    </row>
    <row r="482" spans="1:49" x14ac:dyDescent="0.35">
      <c r="A482" t="s">
        <v>191</v>
      </c>
      <c r="B482" t="s">
        <v>103</v>
      </c>
      <c r="C482" t="s">
        <v>104</v>
      </c>
      <c r="D482" t="s">
        <v>70</v>
      </c>
      <c r="F482" t="s">
        <v>106</v>
      </c>
      <c r="G482" t="s">
        <v>82</v>
      </c>
      <c r="H482" t="s">
        <v>82</v>
      </c>
      <c r="I482" t="s">
        <v>82</v>
      </c>
      <c r="J482">
        <v>44.798000000000002</v>
      </c>
      <c r="K482">
        <v>44.442999999999998</v>
      </c>
      <c r="L482">
        <v>48.186999999999998</v>
      </c>
      <c r="M482">
        <v>47.95</v>
      </c>
      <c r="N482">
        <v>52.475000000000001</v>
      </c>
      <c r="O482">
        <v>58.56</v>
      </c>
      <c r="P482">
        <v>59.93</v>
      </c>
      <c r="Q482">
        <v>57.973999999999997</v>
      </c>
      <c r="R482">
        <v>55.255000000000003</v>
      </c>
      <c r="S482">
        <v>57.154000000000003</v>
      </c>
      <c r="T482">
        <v>56.731000000000002</v>
      </c>
      <c r="U482">
        <v>56.701000000000001</v>
      </c>
      <c r="V482">
        <v>50.515999999999998</v>
      </c>
      <c r="W482">
        <v>49.417999999999999</v>
      </c>
      <c r="X482">
        <v>48.838999999999999</v>
      </c>
      <c r="Y482">
        <v>44.027999999999999</v>
      </c>
      <c r="Z482">
        <v>45.862000000000002</v>
      </c>
      <c r="AA482">
        <v>40.668999999999997</v>
      </c>
      <c r="AB482">
        <v>37.915999999999997</v>
      </c>
      <c r="AC482">
        <v>40.055</v>
      </c>
      <c r="AD482">
        <v>48.024000000000001</v>
      </c>
      <c r="AE482">
        <v>40.332999999999998</v>
      </c>
      <c r="AF482">
        <v>39.402000000000001</v>
      </c>
      <c r="AG482">
        <v>41.012999999999998</v>
      </c>
      <c r="AH482">
        <v>31.966999999999999</v>
      </c>
      <c r="AI482">
        <v>34.871000000000002</v>
      </c>
      <c r="AJ482">
        <v>36.956000000000003</v>
      </c>
      <c r="AK482">
        <v>35.097000000000001</v>
      </c>
      <c r="AL482">
        <v>39.764000000000003</v>
      </c>
      <c r="AM482">
        <v>41.491</v>
      </c>
      <c r="AN482">
        <v>38.161000000000001</v>
      </c>
      <c r="AO482">
        <v>37.457999999999998</v>
      </c>
      <c r="AP482">
        <v>34.228999999999999</v>
      </c>
      <c r="AQ482">
        <v>37.857999999999997</v>
      </c>
      <c r="AR482">
        <v>40.765000000000001</v>
      </c>
      <c r="AS482">
        <v>39.073</v>
      </c>
      <c r="AT482">
        <v>38.497999999999998</v>
      </c>
      <c r="AU482">
        <v>37.792000000000002</v>
      </c>
      <c r="AV482">
        <v>37.881</v>
      </c>
      <c r="AW482">
        <v>37.82</v>
      </c>
    </row>
    <row r="483" spans="1:49" x14ac:dyDescent="0.35">
      <c r="A483" t="s">
        <v>191</v>
      </c>
      <c r="B483" t="s">
        <v>107</v>
      </c>
      <c r="C483" t="s">
        <v>108</v>
      </c>
      <c r="D483" t="s">
        <v>31</v>
      </c>
      <c r="E483" t="s">
        <v>32</v>
      </c>
      <c r="F483" t="s">
        <v>197</v>
      </c>
      <c r="G483" t="s">
        <v>82</v>
      </c>
      <c r="H483" t="s">
        <v>82</v>
      </c>
      <c r="I483" t="s">
        <v>82</v>
      </c>
      <c r="J483">
        <v>0.47599999999999998</v>
      </c>
      <c r="K483">
        <v>0.54</v>
      </c>
      <c r="L483">
        <v>0.63900000000000001</v>
      </c>
      <c r="M483">
        <v>0.745</v>
      </c>
      <c r="N483">
        <v>0.69399999999999995</v>
      </c>
      <c r="O483">
        <v>0.71399999999999997</v>
      </c>
      <c r="P483">
        <v>0.88900000000000001</v>
      </c>
      <c r="Q483">
        <v>0.90600000000000003</v>
      </c>
      <c r="R483">
        <v>1.032</v>
      </c>
      <c r="S483">
        <v>1.1259999999999999</v>
      </c>
      <c r="T483">
        <v>1.482</v>
      </c>
      <c r="U483">
        <v>1.5649999999999999</v>
      </c>
      <c r="V483">
        <v>1.2849999999999999</v>
      </c>
      <c r="W483">
        <v>1.478</v>
      </c>
      <c r="X483">
        <v>1.5489999999999999</v>
      </c>
      <c r="Y483">
        <v>1.9430000000000001</v>
      </c>
      <c r="Z483">
        <v>1.8680000000000001</v>
      </c>
      <c r="AA483">
        <v>1.9470000000000001</v>
      </c>
      <c r="AB483">
        <v>1.7070000000000001</v>
      </c>
      <c r="AC483">
        <v>2.153</v>
      </c>
      <c r="AD483">
        <v>1.7010000000000001</v>
      </c>
      <c r="AE483">
        <v>1.8420000000000001</v>
      </c>
      <c r="AF483">
        <v>1.97</v>
      </c>
      <c r="AG483">
        <v>2.4430000000000001</v>
      </c>
      <c r="AH483">
        <v>2.9020000000000001</v>
      </c>
      <c r="AI483">
        <v>2.4689999999999999</v>
      </c>
      <c r="AJ483">
        <v>3.7040000000000002</v>
      </c>
      <c r="AK483">
        <v>4.0469999999999997</v>
      </c>
      <c r="AL483">
        <v>4.5819999999999999</v>
      </c>
      <c r="AM483">
        <v>5.6050000000000004</v>
      </c>
      <c r="AN483">
        <v>6.0519999999999996</v>
      </c>
      <c r="AO483">
        <v>5.7850000000000001</v>
      </c>
      <c r="AP483">
        <v>5.9340000000000002</v>
      </c>
      <c r="AQ483">
        <v>7.1660000000000004</v>
      </c>
      <c r="AR483">
        <v>8.0969999999999995</v>
      </c>
      <c r="AS483">
        <v>8.3309999999999995</v>
      </c>
      <c r="AT483">
        <v>8.86</v>
      </c>
      <c r="AU483">
        <v>9.1509999999999998</v>
      </c>
      <c r="AV483">
        <v>9.5530000000000008</v>
      </c>
      <c r="AW483">
        <v>10.119</v>
      </c>
    </row>
    <row r="484" spans="1:49" x14ac:dyDescent="0.35">
      <c r="A484" t="s">
        <v>191</v>
      </c>
      <c r="B484" t="s">
        <v>107</v>
      </c>
      <c r="C484" t="s">
        <v>108</v>
      </c>
      <c r="D484" t="s">
        <v>70</v>
      </c>
      <c r="F484" t="s">
        <v>109</v>
      </c>
      <c r="G484" t="s">
        <v>82</v>
      </c>
      <c r="H484" t="s">
        <v>82</v>
      </c>
      <c r="I484" t="s">
        <v>82</v>
      </c>
      <c r="J484">
        <v>47.93</v>
      </c>
      <c r="K484">
        <v>50.529000000000003</v>
      </c>
      <c r="L484">
        <v>53.042000000000002</v>
      </c>
      <c r="M484">
        <v>58.005000000000003</v>
      </c>
      <c r="N484">
        <v>49.703000000000003</v>
      </c>
      <c r="O484">
        <v>46.747</v>
      </c>
      <c r="P484">
        <v>51.673000000000002</v>
      </c>
      <c r="Q484">
        <v>46.063000000000002</v>
      </c>
      <c r="R484">
        <v>52.103000000000002</v>
      </c>
      <c r="S484">
        <v>50.710999999999999</v>
      </c>
      <c r="T484">
        <v>60.353999999999999</v>
      </c>
      <c r="U484">
        <v>63.646999999999998</v>
      </c>
      <c r="V484">
        <v>53.095999999999997</v>
      </c>
      <c r="W484">
        <v>59.11</v>
      </c>
      <c r="X484">
        <v>54.744999999999997</v>
      </c>
      <c r="Y484">
        <v>60.698</v>
      </c>
      <c r="Z484">
        <v>56.125999999999998</v>
      </c>
      <c r="AA484">
        <v>55.408999999999999</v>
      </c>
      <c r="AB484">
        <v>46.841999999999999</v>
      </c>
      <c r="AC484">
        <v>56.314999999999998</v>
      </c>
      <c r="AD484">
        <v>44.628</v>
      </c>
      <c r="AE484">
        <v>39.896000000000001</v>
      </c>
      <c r="AF484">
        <v>38.979999999999997</v>
      </c>
      <c r="AG484">
        <v>43.551000000000002</v>
      </c>
      <c r="AH484">
        <v>41.896000000000001</v>
      </c>
      <c r="AI484">
        <v>26.989000000000001</v>
      </c>
      <c r="AJ484">
        <v>32.116999999999997</v>
      </c>
      <c r="AK484">
        <v>34.576000000000001</v>
      </c>
      <c r="AL484">
        <v>36.335999999999999</v>
      </c>
      <c r="AM484">
        <v>38.600999999999999</v>
      </c>
      <c r="AN484">
        <v>37.792000000000002</v>
      </c>
      <c r="AO484">
        <v>33.790999999999997</v>
      </c>
      <c r="AP484">
        <v>32.363999999999997</v>
      </c>
      <c r="AQ484">
        <v>37.652999999999999</v>
      </c>
      <c r="AR484">
        <v>40.109000000000002</v>
      </c>
      <c r="AS484">
        <v>38.953000000000003</v>
      </c>
      <c r="AT484">
        <v>38.966000000000001</v>
      </c>
      <c r="AU484">
        <v>37.841999999999999</v>
      </c>
      <c r="AV484">
        <v>36.854999999999997</v>
      </c>
      <c r="AW484">
        <v>36.453000000000003</v>
      </c>
    </row>
    <row r="485" spans="1:49" x14ac:dyDescent="0.35">
      <c r="A485" t="s">
        <v>191</v>
      </c>
      <c r="B485" t="s">
        <v>110</v>
      </c>
      <c r="C485" t="s">
        <v>111</v>
      </c>
      <c r="D485" t="s">
        <v>31</v>
      </c>
      <c r="E485" t="s">
        <v>32</v>
      </c>
      <c r="F485" t="s">
        <v>197</v>
      </c>
      <c r="G485" t="s">
        <v>82</v>
      </c>
      <c r="H485" t="s">
        <v>82</v>
      </c>
      <c r="I485" t="s">
        <v>82</v>
      </c>
      <c r="J485">
        <v>-3.1E-2</v>
      </c>
      <c r="K485">
        <v>-6.5000000000000002E-2</v>
      </c>
      <c r="L485">
        <v>-5.8999999999999997E-2</v>
      </c>
      <c r="M485">
        <v>-0.129</v>
      </c>
      <c r="N485">
        <v>3.9E-2</v>
      </c>
      <c r="O485">
        <v>0.18099999999999999</v>
      </c>
      <c r="P485">
        <v>0.14199999999999999</v>
      </c>
      <c r="Q485">
        <v>0.23400000000000001</v>
      </c>
      <c r="R485">
        <v>6.2E-2</v>
      </c>
      <c r="S485">
        <v>0.14299999999999999</v>
      </c>
      <c r="T485">
        <v>-8.8999999999999996E-2</v>
      </c>
      <c r="U485">
        <v>-0.17100000000000001</v>
      </c>
      <c r="V485">
        <v>-6.2E-2</v>
      </c>
      <c r="W485">
        <v>-0.24199999999999999</v>
      </c>
      <c r="X485">
        <v>-0.16700000000000001</v>
      </c>
      <c r="Y485">
        <v>-0.53400000000000003</v>
      </c>
      <c r="Z485">
        <v>-0.34200000000000003</v>
      </c>
      <c r="AA485">
        <v>-0.51800000000000002</v>
      </c>
      <c r="AB485">
        <v>-0.32500000000000001</v>
      </c>
      <c r="AC485">
        <v>-0.622</v>
      </c>
      <c r="AD485">
        <v>0.129</v>
      </c>
      <c r="AE485">
        <v>0.02</v>
      </c>
      <c r="AF485">
        <v>2.1000000000000001E-2</v>
      </c>
      <c r="AG485">
        <v>-0.14199999999999999</v>
      </c>
      <c r="AH485">
        <v>-0.68799999999999994</v>
      </c>
      <c r="AI485">
        <v>0.72099999999999997</v>
      </c>
      <c r="AJ485">
        <v>0.55800000000000005</v>
      </c>
      <c r="AK485">
        <v>6.0999999999999999E-2</v>
      </c>
      <c r="AL485">
        <v>0.432</v>
      </c>
      <c r="AM485">
        <v>0.42</v>
      </c>
      <c r="AN485">
        <v>5.8999999999999997E-2</v>
      </c>
      <c r="AO485">
        <v>0.628</v>
      </c>
      <c r="AP485">
        <v>0.34200000000000003</v>
      </c>
      <c r="AQ485">
        <v>3.9E-2</v>
      </c>
      <c r="AR485">
        <v>0.13300000000000001</v>
      </c>
      <c r="AS485">
        <v>2.5999999999999999E-2</v>
      </c>
      <c r="AT485">
        <v>-0.106</v>
      </c>
      <c r="AU485">
        <v>-1.2E-2</v>
      </c>
      <c r="AV485">
        <v>0.26600000000000001</v>
      </c>
      <c r="AW485">
        <v>0.379</v>
      </c>
    </row>
    <row r="486" spans="1:49" x14ac:dyDescent="0.35">
      <c r="A486" t="s">
        <v>191</v>
      </c>
      <c r="B486" t="s">
        <v>110</v>
      </c>
      <c r="C486" t="s">
        <v>111</v>
      </c>
      <c r="D486" t="s">
        <v>70</v>
      </c>
      <c r="F486" t="s">
        <v>112</v>
      </c>
      <c r="G486" t="s">
        <v>82</v>
      </c>
      <c r="H486" t="s">
        <v>82</v>
      </c>
      <c r="I486" t="s">
        <v>82</v>
      </c>
      <c r="J486">
        <v>-3.1320000000000001</v>
      </c>
      <c r="K486">
        <v>-6.0860000000000003</v>
      </c>
      <c r="L486">
        <v>-4.8550000000000004</v>
      </c>
      <c r="M486">
        <v>-10.055999999999999</v>
      </c>
      <c r="N486">
        <v>2.7719999999999998</v>
      </c>
      <c r="O486">
        <v>11.813000000000001</v>
      </c>
      <c r="P486">
        <v>8.2569999999999997</v>
      </c>
      <c r="Q486">
        <v>11.911</v>
      </c>
      <c r="R486">
        <v>3.1509999999999998</v>
      </c>
      <c r="S486">
        <v>6.4420000000000002</v>
      </c>
      <c r="T486">
        <v>-3.6230000000000002</v>
      </c>
      <c r="U486">
        <v>-6.9470000000000001</v>
      </c>
      <c r="V486">
        <v>-2.58</v>
      </c>
      <c r="W486">
        <v>-9.6920000000000002</v>
      </c>
      <c r="X486">
        <v>-5.9059999999999997</v>
      </c>
      <c r="Y486">
        <v>-16.670000000000002</v>
      </c>
      <c r="Z486">
        <v>-10.263999999999999</v>
      </c>
      <c r="AA486">
        <v>-14.74</v>
      </c>
      <c r="AB486">
        <v>-8.9269999999999996</v>
      </c>
      <c r="AC486">
        <v>-16.260000000000002</v>
      </c>
      <c r="AD486">
        <v>3.3959999999999999</v>
      </c>
      <c r="AE486">
        <v>0.437</v>
      </c>
      <c r="AF486">
        <v>0.42199999999999999</v>
      </c>
      <c r="AG486">
        <v>-2.5379999999999998</v>
      </c>
      <c r="AH486">
        <v>-9.9290000000000003</v>
      </c>
      <c r="AI486">
        <v>7.8819999999999997</v>
      </c>
      <c r="AJ486">
        <v>4.8390000000000004</v>
      </c>
      <c r="AK486">
        <v>0.52100000000000002</v>
      </c>
      <c r="AL486">
        <v>3.4279999999999999</v>
      </c>
      <c r="AM486">
        <v>2.89</v>
      </c>
      <c r="AN486">
        <v>0.36799999999999999</v>
      </c>
      <c r="AO486">
        <v>3.6680000000000001</v>
      </c>
      <c r="AP486">
        <v>1.865</v>
      </c>
      <c r="AQ486">
        <v>0.20499999999999999</v>
      </c>
      <c r="AR486">
        <v>0.65700000000000003</v>
      </c>
      <c r="AS486">
        <v>0.12</v>
      </c>
      <c r="AT486">
        <v>-0.46800000000000003</v>
      </c>
      <c r="AU486">
        <v>-5.0999999999999997E-2</v>
      </c>
      <c r="AV486">
        <v>1.026</v>
      </c>
      <c r="AW486">
        <v>1.367</v>
      </c>
    </row>
    <row r="487" spans="1:49" x14ac:dyDescent="0.35">
      <c r="A487" t="s">
        <v>191</v>
      </c>
      <c r="B487" t="s">
        <v>113</v>
      </c>
      <c r="C487" t="s">
        <v>114</v>
      </c>
      <c r="D487" t="s">
        <v>31</v>
      </c>
      <c r="E487" t="s">
        <v>32</v>
      </c>
    </row>
    <row r="488" spans="1:49" x14ac:dyDescent="0.35">
      <c r="A488" t="s">
        <v>191</v>
      </c>
      <c r="B488" t="s">
        <v>113</v>
      </c>
      <c r="C488" t="s">
        <v>114</v>
      </c>
      <c r="D488" t="s">
        <v>61</v>
      </c>
    </row>
    <row r="489" spans="1:49" x14ac:dyDescent="0.35">
      <c r="A489" t="s">
        <v>191</v>
      </c>
      <c r="B489" t="s">
        <v>115</v>
      </c>
      <c r="C489" t="s">
        <v>116</v>
      </c>
      <c r="D489" t="s">
        <v>31</v>
      </c>
      <c r="E489" t="s">
        <v>32</v>
      </c>
      <c r="F489" t="s">
        <v>197</v>
      </c>
      <c r="G489" t="s">
        <v>82</v>
      </c>
      <c r="H489" t="s">
        <v>82</v>
      </c>
      <c r="I489" t="s">
        <v>82</v>
      </c>
      <c r="J489">
        <v>-1.0999999999999999E-2</v>
      </c>
      <c r="K489">
        <v>-3.4000000000000002E-2</v>
      </c>
      <c r="L489">
        <v>-7.0000000000000001E-3</v>
      </c>
      <c r="M489">
        <v>-9.0999999999999998E-2</v>
      </c>
      <c r="N489">
        <v>0.156</v>
      </c>
      <c r="O489">
        <v>0.313</v>
      </c>
      <c r="P489">
        <v>0.28100000000000003</v>
      </c>
      <c r="Q489">
        <v>0.39100000000000001</v>
      </c>
      <c r="R489">
        <v>0.22</v>
      </c>
      <c r="S489">
        <v>0.318</v>
      </c>
      <c r="T489">
        <v>0.105</v>
      </c>
      <c r="U489">
        <v>3.4000000000000002E-2</v>
      </c>
      <c r="V489">
        <v>0.17199999999999999</v>
      </c>
      <c r="W489">
        <v>8.9999999999999993E-3</v>
      </c>
      <c r="X489">
        <v>0.109</v>
      </c>
      <c r="Y489">
        <v>-0.21</v>
      </c>
      <c r="Z489">
        <v>-3.7999999999999999E-2</v>
      </c>
      <c r="AA489">
        <v>-0.25600000000000001</v>
      </c>
      <c r="AB489">
        <v>-0.06</v>
      </c>
      <c r="AC489">
        <v>-0.33</v>
      </c>
      <c r="AD489">
        <v>0.39200000000000002</v>
      </c>
      <c r="AE489">
        <v>0.318</v>
      </c>
      <c r="AF489">
        <v>0.34499999999999997</v>
      </c>
      <c r="AG489">
        <v>0.157</v>
      </c>
      <c r="AH489">
        <v>-0.23300000000000001</v>
      </c>
      <c r="AI489">
        <v>1.349</v>
      </c>
      <c r="AJ489">
        <v>1.5580000000000001</v>
      </c>
      <c r="AK489">
        <v>0.76100000000000001</v>
      </c>
      <c r="AL489">
        <v>0.81200000000000006</v>
      </c>
      <c r="AM489">
        <v>0.95799999999999996</v>
      </c>
      <c r="AN489">
        <v>0.84899999999999998</v>
      </c>
      <c r="AO489">
        <v>1.032</v>
      </c>
      <c r="AP489">
        <v>0.90600000000000003</v>
      </c>
      <c r="AQ489">
        <v>0.746</v>
      </c>
      <c r="AR489">
        <v>0.96699999999999997</v>
      </c>
      <c r="AS489">
        <v>0.85599999999999998</v>
      </c>
      <c r="AT489">
        <v>0.72499999999999998</v>
      </c>
      <c r="AU489">
        <v>0.75800000000000001</v>
      </c>
      <c r="AV489">
        <v>0.96299999999999997</v>
      </c>
      <c r="AW489">
        <v>1.0349999999999999</v>
      </c>
    </row>
    <row r="490" spans="1:49" x14ac:dyDescent="0.35">
      <c r="A490" t="s">
        <v>191</v>
      </c>
      <c r="B490" t="s">
        <v>115</v>
      </c>
      <c r="C490" t="s">
        <v>116</v>
      </c>
      <c r="D490" t="s">
        <v>70</v>
      </c>
      <c r="F490" t="s">
        <v>117</v>
      </c>
      <c r="G490" t="s">
        <v>82</v>
      </c>
      <c r="H490" t="s">
        <v>82</v>
      </c>
      <c r="I490" t="s">
        <v>82</v>
      </c>
      <c r="J490">
        <v>-1.1080000000000001</v>
      </c>
      <c r="K490">
        <v>-3.1829999999999998</v>
      </c>
      <c r="L490">
        <v>-0.59799999999999998</v>
      </c>
      <c r="M490">
        <v>-7.08</v>
      </c>
      <c r="N490">
        <v>11.183</v>
      </c>
      <c r="O490">
        <v>20.457999999999998</v>
      </c>
      <c r="P490">
        <v>16.350999999999999</v>
      </c>
      <c r="Q490">
        <v>19.896999999999998</v>
      </c>
      <c r="R490">
        <v>11.09</v>
      </c>
      <c r="S490">
        <v>14.298999999999999</v>
      </c>
      <c r="T490">
        <v>4.2729999999999997</v>
      </c>
      <c r="U490">
        <v>1.401</v>
      </c>
      <c r="V490">
        <v>7.1189999999999998</v>
      </c>
      <c r="W490">
        <v>0.371</v>
      </c>
      <c r="X490">
        <v>3.8540000000000001</v>
      </c>
      <c r="Y490">
        <v>-6.5460000000000003</v>
      </c>
      <c r="Z490">
        <v>-1.1399999999999999</v>
      </c>
      <c r="AA490">
        <v>-7.2859999999999996</v>
      </c>
      <c r="AB490">
        <v>-1.6419999999999999</v>
      </c>
      <c r="AC490">
        <v>-8.6430000000000007</v>
      </c>
      <c r="AD490">
        <v>10.298</v>
      </c>
      <c r="AE490">
        <v>6.8940000000000001</v>
      </c>
      <c r="AF490">
        <v>6.83</v>
      </c>
      <c r="AG490">
        <v>2.7919999999999998</v>
      </c>
      <c r="AH490">
        <v>-3.3620000000000001</v>
      </c>
      <c r="AI490">
        <v>14.743</v>
      </c>
      <c r="AJ490">
        <v>13.509</v>
      </c>
      <c r="AK490">
        <v>6.5030000000000001</v>
      </c>
      <c r="AL490">
        <v>6.4359999999999999</v>
      </c>
      <c r="AM490">
        <v>6.5949999999999998</v>
      </c>
      <c r="AN490">
        <v>5.2990000000000004</v>
      </c>
      <c r="AO490">
        <v>6.0309999999999997</v>
      </c>
      <c r="AP490">
        <v>4.9400000000000004</v>
      </c>
      <c r="AQ490">
        <v>3.9220000000000002</v>
      </c>
      <c r="AR490">
        <v>4.7919999999999998</v>
      </c>
      <c r="AS490">
        <v>4.0019999999999998</v>
      </c>
      <c r="AT490">
        <v>3.1890000000000001</v>
      </c>
      <c r="AU490">
        <v>3.1339999999999999</v>
      </c>
      <c r="AV490">
        <v>3.7170000000000001</v>
      </c>
      <c r="AW490">
        <v>3.7290000000000001</v>
      </c>
    </row>
    <row r="491" spans="1:49" x14ac:dyDescent="0.35">
      <c r="A491" t="s">
        <v>191</v>
      </c>
      <c r="B491" t="s">
        <v>118</v>
      </c>
      <c r="C491" t="s">
        <v>119</v>
      </c>
      <c r="D491" t="s">
        <v>31</v>
      </c>
      <c r="E491" t="s">
        <v>32</v>
      </c>
      <c r="F491" t="s">
        <v>197</v>
      </c>
      <c r="G491" t="s">
        <v>82</v>
      </c>
      <c r="H491" t="s">
        <v>82</v>
      </c>
      <c r="I491" t="s">
        <v>82</v>
      </c>
      <c r="J491" t="s">
        <v>82</v>
      </c>
      <c r="K491" t="s">
        <v>82</v>
      </c>
      <c r="L491" t="s">
        <v>82</v>
      </c>
      <c r="M491" t="s">
        <v>82</v>
      </c>
      <c r="N491" t="s">
        <v>82</v>
      </c>
      <c r="O491" t="s">
        <v>82</v>
      </c>
      <c r="P491" t="s">
        <v>82</v>
      </c>
      <c r="Q491" t="s">
        <v>82</v>
      </c>
      <c r="R491" t="s">
        <v>82</v>
      </c>
      <c r="S491" t="s">
        <v>82</v>
      </c>
      <c r="T491" t="s">
        <v>82</v>
      </c>
      <c r="U491" t="s">
        <v>82</v>
      </c>
      <c r="V491" t="s">
        <v>82</v>
      </c>
      <c r="W491" t="s">
        <v>82</v>
      </c>
      <c r="X491" t="s">
        <v>82</v>
      </c>
      <c r="Y491" t="s">
        <v>82</v>
      </c>
      <c r="Z491" t="s">
        <v>82</v>
      </c>
      <c r="AA491" t="s">
        <v>82</v>
      </c>
      <c r="AB491">
        <v>7.0129999999999999</v>
      </c>
      <c r="AC491">
        <v>7.1660000000000004</v>
      </c>
      <c r="AD491">
        <v>6.4720000000000004</v>
      </c>
      <c r="AE491">
        <v>7.1369999999999996</v>
      </c>
      <c r="AF491">
        <v>6.94</v>
      </c>
      <c r="AG491">
        <v>7.0650000000000004</v>
      </c>
      <c r="AH491">
        <v>9.7010000000000005</v>
      </c>
      <c r="AI491">
        <v>17.213000000000001</v>
      </c>
      <c r="AJ491">
        <v>11.742000000000001</v>
      </c>
      <c r="AK491">
        <v>8.9120000000000008</v>
      </c>
      <c r="AL491">
        <v>9.7629999999999999</v>
      </c>
      <c r="AM491">
        <v>9.81</v>
      </c>
      <c r="AN491">
        <v>9.0280000000000005</v>
      </c>
      <c r="AO491">
        <v>9.4779999999999998</v>
      </c>
      <c r="AP491">
        <v>9.1129999999999995</v>
      </c>
      <c r="AQ491">
        <v>9.6820000000000004</v>
      </c>
      <c r="AR491">
        <v>9.9209999999999994</v>
      </c>
      <c r="AS491">
        <v>9.9619999999999997</v>
      </c>
      <c r="AT491">
        <v>10.207000000000001</v>
      </c>
      <c r="AU491">
        <v>10.363</v>
      </c>
      <c r="AV491">
        <v>10.451000000000001</v>
      </c>
      <c r="AW491">
        <v>10.436</v>
      </c>
    </row>
    <row r="492" spans="1:49" x14ac:dyDescent="0.35">
      <c r="A492" t="s">
        <v>191</v>
      </c>
      <c r="B492" t="s">
        <v>118</v>
      </c>
      <c r="C492" t="s">
        <v>119</v>
      </c>
      <c r="D492" t="s">
        <v>70</v>
      </c>
      <c r="F492" t="s">
        <v>134</v>
      </c>
      <c r="G492" t="s">
        <v>82</v>
      </c>
      <c r="H492" t="s">
        <v>82</v>
      </c>
      <c r="I492" t="s">
        <v>82</v>
      </c>
      <c r="J492" t="s">
        <v>82</v>
      </c>
      <c r="K492" t="s">
        <v>82</v>
      </c>
      <c r="L492" t="s">
        <v>82</v>
      </c>
      <c r="M492" t="s">
        <v>82</v>
      </c>
      <c r="N492" t="s">
        <v>82</v>
      </c>
      <c r="O492" t="s">
        <v>82</v>
      </c>
      <c r="P492" t="s">
        <v>82</v>
      </c>
      <c r="Q492" t="s">
        <v>82</v>
      </c>
      <c r="R492" t="s">
        <v>82</v>
      </c>
      <c r="S492" t="s">
        <v>82</v>
      </c>
      <c r="T492" t="s">
        <v>82</v>
      </c>
      <c r="U492" t="s">
        <v>82</v>
      </c>
      <c r="V492" t="s">
        <v>82</v>
      </c>
      <c r="W492" t="s">
        <v>82</v>
      </c>
      <c r="X492" t="s">
        <v>82</v>
      </c>
      <c r="Y492" t="s">
        <v>82</v>
      </c>
      <c r="Z492" t="s">
        <v>82</v>
      </c>
      <c r="AA492" t="s">
        <v>82</v>
      </c>
      <c r="AB492">
        <v>192.4</v>
      </c>
      <c r="AC492">
        <v>187.46100000000001</v>
      </c>
      <c r="AD492">
        <v>169.82400000000001</v>
      </c>
      <c r="AE492">
        <v>154.596</v>
      </c>
      <c r="AF492">
        <v>137.29</v>
      </c>
      <c r="AG492">
        <v>125.92</v>
      </c>
      <c r="AH492">
        <v>140.05500000000001</v>
      </c>
      <c r="AI492">
        <v>188.184</v>
      </c>
      <c r="AJ492">
        <v>101.809</v>
      </c>
      <c r="AK492">
        <v>76.138000000000005</v>
      </c>
      <c r="AL492">
        <v>77.430000000000007</v>
      </c>
      <c r="AM492">
        <v>67.564999999999998</v>
      </c>
      <c r="AN492">
        <v>56.371000000000002</v>
      </c>
      <c r="AO492">
        <v>55.363</v>
      </c>
      <c r="AP492">
        <v>49.698999999999998</v>
      </c>
      <c r="AQ492">
        <v>50.872999999999998</v>
      </c>
      <c r="AR492">
        <v>49.143999999999998</v>
      </c>
      <c r="AS492">
        <v>46.578000000000003</v>
      </c>
      <c r="AT492">
        <v>44.889000000000003</v>
      </c>
      <c r="AU492">
        <v>42.853000000000002</v>
      </c>
      <c r="AV492">
        <v>40.322000000000003</v>
      </c>
      <c r="AW492">
        <v>37.597000000000001</v>
      </c>
    </row>
    <row r="493" spans="1:49" x14ac:dyDescent="0.35">
      <c r="A493" t="s">
        <v>191</v>
      </c>
      <c r="B493" t="s">
        <v>120</v>
      </c>
      <c r="C493" t="s">
        <v>121</v>
      </c>
      <c r="D493" t="s">
        <v>31</v>
      </c>
      <c r="E493" t="s">
        <v>32</v>
      </c>
      <c r="F493" t="s">
        <v>197</v>
      </c>
      <c r="G493" t="s">
        <v>82</v>
      </c>
      <c r="H493" t="s">
        <v>82</v>
      </c>
      <c r="I493" t="s">
        <v>82</v>
      </c>
      <c r="J493" t="s">
        <v>82</v>
      </c>
      <c r="K493" t="s">
        <v>82</v>
      </c>
      <c r="L493" t="s">
        <v>82</v>
      </c>
      <c r="M493" t="s">
        <v>82</v>
      </c>
      <c r="N493" t="s">
        <v>82</v>
      </c>
      <c r="O493" t="s">
        <v>82</v>
      </c>
      <c r="P493" t="s">
        <v>82</v>
      </c>
      <c r="Q493">
        <v>1.581</v>
      </c>
      <c r="R493">
        <v>1.7669999999999999</v>
      </c>
      <c r="S493">
        <v>1.7749999999999999</v>
      </c>
      <c r="T493">
        <v>2.0179999999999998</v>
      </c>
      <c r="U493">
        <v>3.036</v>
      </c>
      <c r="V493">
        <v>3.2309999999999999</v>
      </c>
      <c r="W493">
        <v>3.6669999999999998</v>
      </c>
      <c r="X493">
        <v>4.0469999999999997</v>
      </c>
      <c r="Y493">
        <v>5.1619999999999999</v>
      </c>
      <c r="Z493">
        <v>5.3179999999999996</v>
      </c>
      <c r="AA493">
        <v>6.2480000000000002</v>
      </c>
      <c r="AB493">
        <v>7.282</v>
      </c>
      <c r="AC493">
        <v>7.4870000000000001</v>
      </c>
      <c r="AD493">
        <v>6.7450000000000001</v>
      </c>
      <c r="AE493">
        <v>7.5350000000000001</v>
      </c>
      <c r="AF493">
        <v>7.2830000000000004</v>
      </c>
      <c r="AG493">
        <v>7.5780000000000003</v>
      </c>
      <c r="AH493">
        <v>9.9770000000000003</v>
      </c>
      <c r="AI493">
        <v>17.571999999999999</v>
      </c>
      <c r="AJ493">
        <v>12.24</v>
      </c>
      <c r="AK493">
        <v>9.625</v>
      </c>
      <c r="AL493">
        <v>10.404</v>
      </c>
      <c r="AM493">
        <v>11.625999999999999</v>
      </c>
      <c r="AN493">
        <v>10.922000000000001</v>
      </c>
      <c r="AO493">
        <v>12.451000000000001</v>
      </c>
      <c r="AP493">
        <v>12.419</v>
      </c>
      <c r="AQ493">
        <v>13.134</v>
      </c>
      <c r="AR493">
        <v>13.358000000000001</v>
      </c>
      <c r="AS493">
        <v>12.962999999999999</v>
      </c>
      <c r="AT493">
        <v>12.558</v>
      </c>
      <c r="AU493">
        <v>12.114000000000001</v>
      </c>
      <c r="AV493">
        <v>12.002000000000001</v>
      </c>
      <c r="AW493">
        <v>11.787000000000001</v>
      </c>
    </row>
    <row r="494" spans="1:49" x14ac:dyDescent="0.35">
      <c r="A494" t="s">
        <v>191</v>
      </c>
      <c r="B494" t="s">
        <v>120</v>
      </c>
      <c r="C494" t="s">
        <v>121</v>
      </c>
      <c r="D494" t="s">
        <v>70</v>
      </c>
      <c r="F494" t="s">
        <v>122</v>
      </c>
      <c r="G494" t="s">
        <v>82</v>
      </c>
      <c r="H494" t="s">
        <v>82</v>
      </c>
      <c r="I494" t="s">
        <v>82</v>
      </c>
      <c r="J494" t="s">
        <v>82</v>
      </c>
      <c r="K494" t="s">
        <v>82</v>
      </c>
      <c r="L494" t="s">
        <v>82</v>
      </c>
      <c r="M494" t="s">
        <v>82</v>
      </c>
      <c r="N494" t="s">
        <v>82</v>
      </c>
      <c r="O494" t="s">
        <v>82</v>
      </c>
      <c r="P494" t="s">
        <v>82</v>
      </c>
      <c r="Q494">
        <v>80.352999999999994</v>
      </c>
      <c r="R494">
        <v>89.222999999999999</v>
      </c>
      <c r="S494">
        <v>79.905000000000001</v>
      </c>
      <c r="T494">
        <v>82.18</v>
      </c>
      <c r="U494">
        <v>123.453</v>
      </c>
      <c r="V494">
        <v>133.52199999999999</v>
      </c>
      <c r="W494">
        <v>146.661</v>
      </c>
      <c r="X494">
        <v>143.01300000000001</v>
      </c>
      <c r="Y494">
        <v>161.24</v>
      </c>
      <c r="Z494">
        <v>159.78700000000001</v>
      </c>
      <c r="AA494">
        <v>177.83699999999999</v>
      </c>
      <c r="AB494">
        <v>199.78700000000001</v>
      </c>
      <c r="AC494">
        <v>195.86</v>
      </c>
      <c r="AD494">
        <v>176.97499999999999</v>
      </c>
      <c r="AE494">
        <v>163.226</v>
      </c>
      <c r="AF494">
        <v>144.06399999999999</v>
      </c>
      <c r="AG494">
        <v>135.071</v>
      </c>
      <c r="AH494">
        <v>144.048</v>
      </c>
      <c r="AI494">
        <v>192.102</v>
      </c>
      <c r="AJ494">
        <v>106.125</v>
      </c>
      <c r="AK494">
        <v>82.224000000000004</v>
      </c>
      <c r="AL494">
        <v>82.507999999999996</v>
      </c>
      <c r="AM494">
        <v>80.069000000000003</v>
      </c>
      <c r="AN494">
        <v>68.198999999999998</v>
      </c>
      <c r="AO494">
        <v>72.730999999999995</v>
      </c>
      <c r="AP494">
        <v>67.733000000000004</v>
      </c>
      <c r="AQ494">
        <v>69.006</v>
      </c>
      <c r="AR494">
        <v>66.17</v>
      </c>
      <c r="AS494">
        <v>60.61</v>
      </c>
      <c r="AT494">
        <v>55.23</v>
      </c>
      <c r="AU494">
        <v>50.094000000000001</v>
      </c>
      <c r="AV494">
        <v>46.305999999999997</v>
      </c>
      <c r="AW494">
        <v>42.465000000000003</v>
      </c>
    </row>
    <row r="495" spans="1:49" x14ac:dyDescent="0.35">
      <c r="A495" t="s">
        <v>191</v>
      </c>
      <c r="B495" t="s">
        <v>123</v>
      </c>
      <c r="C495" t="s">
        <v>124</v>
      </c>
      <c r="D495" t="s">
        <v>31</v>
      </c>
      <c r="E495" t="s">
        <v>32</v>
      </c>
      <c r="F495" t="s">
        <v>197</v>
      </c>
      <c r="G495">
        <v>0.94199999999999995</v>
      </c>
      <c r="H495">
        <v>0.97199999999999998</v>
      </c>
      <c r="I495">
        <v>0.96799999999999997</v>
      </c>
      <c r="J495">
        <v>0.99299999999999999</v>
      </c>
      <c r="K495">
        <v>1.0680000000000001</v>
      </c>
      <c r="L495">
        <v>1.2050000000000001</v>
      </c>
      <c r="M495">
        <v>1.284</v>
      </c>
      <c r="N495">
        <v>1.3959999999999999</v>
      </c>
      <c r="O495">
        <v>1.528</v>
      </c>
      <c r="P495">
        <v>1.7210000000000001</v>
      </c>
      <c r="Q495">
        <v>1.9670000000000001</v>
      </c>
      <c r="R495">
        <v>1.98</v>
      </c>
      <c r="S495">
        <v>2.2210000000000001</v>
      </c>
      <c r="T495">
        <v>2.456</v>
      </c>
      <c r="U495">
        <v>2.4590000000000001</v>
      </c>
      <c r="V495">
        <v>2.42</v>
      </c>
      <c r="W495">
        <v>2.5</v>
      </c>
      <c r="X495">
        <v>2.83</v>
      </c>
      <c r="Y495">
        <v>3.2010000000000001</v>
      </c>
      <c r="Z495">
        <v>3.3279999999999998</v>
      </c>
      <c r="AA495">
        <v>3.5129999999999999</v>
      </c>
      <c r="AB495">
        <v>3.645</v>
      </c>
      <c r="AC495">
        <v>3.8220000000000001</v>
      </c>
      <c r="AD495">
        <v>3.8109999999999999</v>
      </c>
      <c r="AE495">
        <v>4.6159999999999997</v>
      </c>
      <c r="AF495">
        <v>5.0549999999999997</v>
      </c>
      <c r="AG495">
        <v>5.61</v>
      </c>
      <c r="AH495">
        <v>6.9260000000000002</v>
      </c>
      <c r="AI495">
        <v>9.1470000000000002</v>
      </c>
      <c r="AJ495">
        <v>11.532999999999999</v>
      </c>
      <c r="AK495">
        <v>11.705</v>
      </c>
      <c r="AL495">
        <v>12.609</v>
      </c>
      <c r="AM495">
        <v>14.519</v>
      </c>
      <c r="AN495">
        <v>16.015000000000001</v>
      </c>
      <c r="AO495">
        <v>17.119</v>
      </c>
      <c r="AP495">
        <v>18.335999999999999</v>
      </c>
      <c r="AQ495">
        <v>19.033000000000001</v>
      </c>
      <c r="AR495">
        <v>20.187999999999999</v>
      </c>
      <c r="AS495">
        <v>21.388000000000002</v>
      </c>
      <c r="AT495">
        <v>22.738</v>
      </c>
      <c r="AU495">
        <v>24.181999999999999</v>
      </c>
      <c r="AV495">
        <v>25.92</v>
      </c>
      <c r="AW495">
        <v>27.757000000000001</v>
      </c>
    </row>
    <row r="496" spans="1:49" x14ac:dyDescent="0.35">
      <c r="A496" t="s">
        <v>191</v>
      </c>
      <c r="B496" t="s">
        <v>125</v>
      </c>
      <c r="C496" t="s">
        <v>126</v>
      </c>
      <c r="D496" t="s">
        <v>41</v>
      </c>
      <c r="E496" t="s">
        <v>32</v>
      </c>
      <c r="F496" t="s">
        <v>198</v>
      </c>
      <c r="G496">
        <v>-1.6E-2</v>
      </c>
      <c r="H496">
        <v>-1.9E-2</v>
      </c>
      <c r="I496">
        <v>-4.1000000000000002E-2</v>
      </c>
      <c r="J496">
        <v>-2.5999999999999999E-2</v>
      </c>
      <c r="K496">
        <v>-1.2999999999999999E-2</v>
      </c>
      <c r="L496">
        <v>-1.9E-2</v>
      </c>
      <c r="M496">
        <v>-3.3000000000000002E-2</v>
      </c>
      <c r="N496">
        <v>-2.1000000000000001E-2</v>
      </c>
      <c r="O496">
        <v>-2.8000000000000001E-2</v>
      </c>
      <c r="P496">
        <v>-0.04</v>
      </c>
      <c r="Q496">
        <v>-1.2999999999999999E-2</v>
      </c>
      <c r="R496">
        <v>-8.0000000000000002E-3</v>
      </c>
      <c r="S496">
        <v>-7.0000000000000001E-3</v>
      </c>
      <c r="T496">
        <v>8.9999999999999993E-3</v>
      </c>
      <c r="U496">
        <v>3.1E-2</v>
      </c>
      <c r="V496">
        <v>1E-3</v>
      </c>
      <c r="W496">
        <v>-5.1999999999999998E-2</v>
      </c>
      <c r="X496">
        <v>-6.6000000000000003E-2</v>
      </c>
      <c r="Y496">
        <v>-0.106</v>
      </c>
      <c r="Z496">
        <v>-0.11700000000000001</v>
      </c>
      <c r="AA496">
        <v>-4.2999999999999997E-2</v>
      </c>
      <c r="AB496">
        <v>-0.153</v>
      </c>
      <c r="AC496">
        <v>-0.10100000000000001</v>
      </c>
      <c r="AD496">
        <v>-8.9999999999999993E-3</v>
      </c>
      <c r="AE496">
        <v>-0.06</v>
      </c>
      <c r="AF496">
        <v>-0.17399999999999999</v>
      </c>
      <c r="AG496">
        <v>-0.13400000000000001</v>
      </c>
      <c r="AH496">
        <v>-0.111</v>
      </c>
      <c r="AI496">
        <v>-0.185</v>
      </c>
      <c r="AJ496">
        <v>-0.126</v>
      </c>
      <c r="AK496">
        <v>-0.188</v>
      </c>
      <c r="AL496">
        <v>-0.23400000000000001</v>
      </c>
      <c r="AM496">
        <v>-0.224</v>
      </c>
      <c r="AN496">
        <v>-0.159</v>
      </c>
      <c r="AO496">
        <v>-0.31</v>
      </c>
      <c r="AP496">
        <v>-0.25600000000000001</v>
      </c>
      <c r="AQ496">
        <v>-0.26300000000000001</v>
      </c>
      <c r="AR496">
        <v>-0.23</v>
      </c>
      <c r="AS496">
        <v>-0.22700000000000001</v>
      </c>
      <c r="AT496">
        <v>-0.23499999999999999</v>
      </c>
      <c r="AU496">
        <v>-0.24299999999999999</v>
      </c>
      <c r="AV496">
        <v>-0.27700000000000002</v>
      </c>
      <c r="AW496">
        <v>-0.28199999999999997</v>
      </c>
    </row>
    <row r="497" spans="1:49" x14ac:dyDescent="0.35">
      <c r="A497" t="s">
        <v>191</v>
      </c>
      <c r="B497" t="s">
        <v>125</v>
      </c>
      <c r="C497" t="s">
        <v>126</v>
      </c>
      <c r="D497" t="s">
        <v>70</v>
      </c>
      <c r="F497" t="s">
        <v>128</v>
      </c>
      <c r="G497">
        <v>-10.602</v>
      </c>
      <c r="H497">
        <v>-12.211</v>
      </c>
      <c r="I497">
        <v>-27.504999999999999</v>
      </c>
      <c r="J497">
        <v>-17.754999999999999</v>
      </c>
      <c r="K497">
        <v>-8.782</v>
      </c>
      <c r="L497">
        <v>-11.369</v>
      </c>
      <c r="M497">
        <v>-16.018000000000001</v>
      </c>
      <c r="N497">
        <v>-8.4700000000000006</v>
      </c>
      <c r="O497">
        <v>-10.01</v>
      </c>
      <c r="P497">
        <v>-13.007999999999999</v>
      </c>
      <c r="Q497">
        <v>-3.5209999999999999</v>
      </c>
      <c r="R497">
        <v>-2.1819999999999999</v>
      </c>
      <c r="S497">
        <v>-1.5920000000000001</v>
      </c>
      <c r="T497">
        <v>1.82</v>
      </c>
      <c r="U497">
        <v>6.452</v>
      </c>
      <c r="V497">
        <v>0.27900000000000003</v>
      </c>
      <c r="W497">
        <v>-10.42</v>
      </c>
      <c r="X497">
        <v>-11.741</v>
      </c>
      <c r="Y497">
        <v>-17.469000000000001</v>
      </c>
      <c r="Z497">
        <v>-18.742999999999999</v>
      </c>
      <c r="AA497">
        <v>-6.9809999999999999</v>
      </c>
      <c r="AB497">
        <v>-24.597000000000001</v>
      </c>
      <c r="AC497">
        <v>-14.519</v>
      </c>
      <c r="AD497">
        <v>-1.327</v>
      </c>
      <c r="AE497">
        <v>-7.1870000000000003</v>
      </c>
      <c r="AF497">
        <v>-18.939</v>
      </c>
      <c r="AG497">
        <v>-13.161</v>
      </c>
      <c r="AH497">
        <v>-10.773</v>
      </c>
      <c r="AI497">
        <v>-18.483000000000001</v>
      </c>
      <c r="AJ497">
        <v>-14.837</v>
      </c>
      <c r="AK497">
        <v>-19.38</v>
      </c>
      <c r="AL497">
        <v>-22.959</v>
      </c>
      <c r="AM497">
        <v>-21.138000000000002</v>
      </c>
      <c r="AN497">
        <v>-11.945</v>
      </c>
      <c r="AO497">
        <v>-23.111000000000001</v>
      </c>
      <c r="AP497">
        <v>-18.584</v>
      </c>
      <c r="AQ497">
        <v>-18.398</v>
      </c>
      <c r="AR497">
        <v>-15.573</v>
      </c>
      <c r="AS497">
        <v>-14.576000000000001</v>
      </c>
      <c r="AT497">
        <v>-14.244999999999999</v>
      </c>
      <c r="AU497">
        <v>-13.952</v>
      </c>
      <c r="AV497">
        <v>-14.967000000000001</v>
      </c>
      <c r="AW497">
        <v>-14.444000000000001</v>
      </c>
    </row>
    <row r="498" spans="1:49" x14ac:dyDescent="0.35">
      <c r="A498" t="s">
        <v>11</v>
      </c>
      <c r="B498" t="s">
        <v>29</v>
      </c>
      <c r="C498" t="s">
        <v>30</v>
      </c>
      <c r="D498" t="s">
        <v>31</v>
      </c>
      <c r="E498" t="s">
        <v>32</v>
      </c>
      <c r="F498" t="s">
        <v>199</v>
      </c>
      <c r="G498" s="27">
        <v>1404.9</v>
      </c>
      <c r="H498" s="27">
        <v>1480.21</v>
      </c>
      <c r="I498" s="27">
        <v>1474.54</v>
      </c>
      <c r="J498" s="27">
        <v>1447.31</v>
      </c>
      <c r="K498" s="27">
        <v>1521.11</v>
      </c>
      <c r="L498" s="27">
        <v>1502.68</v>
      </c>
      <c r="M498" s="27">
        <v>1502.95</v>
      </c>
      <c r="N498" s="27">
        <v>1534.52</v>
      </c>
      <c r="O498" s="27">
        <v>1598.98</v>
      </c>
      <c r="P498" s="27">
        <v>1637.27</v>
      </c>
      <c r="Q498" s="27">
        <v>1632.06</v>
      </c>
      <c r="R498" s="27">
        <v>1615.45</v>
      </c>
      <c r="S498" s="27">
        <v>1580.92</v>
      </c>
      <c r="T498" s="27">
        <v>1600.42</v>
      </c>
      <c r="U498" s="27">
        <v>1652.18</v>
      </c>
      <c r="V498" s="27">
        <v>1703.66</v>
      </c>
      <c r="W498" s="27">
        <v>1777.03</v>
      </c>
      <c r="X498" s="27">
        <v>1824.07</v>
      </c>
      <c r="Y498" s="27">
        <v>1833.5</v>
      </c>
      <c r="Z498" s="27">
        <v>1876.74</v>
      </c>
      <c r="AA498" s="27">
        <v>1954.71</v>
      </c>
      <c r="AB498" s="27">
        <v>2008.18</v>
      </c>
      <c r="AC498" s="27">
        <v>2081.84</v>
      </c>
      <c r="AD498" s="27">
        <v>2143.23</v>
      </c>
      <c r="AE498" s="27">
        <v>2240.85</v>
      </c>
      <c r="AF498" s="27">
        <v>2359.1</v>
      </c>
      <c r="AG498" s="27">
        <v>2491.3000000000002</v>
      </c>
      <c r="AH498" s="27">
        <v>2624.84</v>
      </c>
      <c r="AI498" s="27">
        <v>2708.6</v>
      </c>
      <c r="AJ498" s="27">
        <v>2666.94</v>
      </c>
      <c r="AK498" s="27">
        <v>2748.01</v>
      </c>
      <c r="AL498" s="27">
        <v>2838.26</v>
      </c>
      <c r="AM498" s="27">
        <v>2901.08</v>
      </c>
      <c r="AN498" s="27">
        <v>2973.29</v>
      </c>
      <c r="AO498" s="27">
        <v>3023.83</v>
      </c>
      <c r="AP498" s="27">
        <v>3063.1</v>
      </c>
      <c r="AQ498" s="27">
        <v>3071.66</v>
      </c>
      <c r="AR498" s="27">
        <v>3093.02</v>
      </c>
      <c r="AS498" s="27">
        <v>3125.53</v>
      </c>
      <c r="AT498" s="27">
        <v>3174.95</v>
      </c>
      <c r="AU498" s="27">
        <v>3244.75</v>
      </c>
      <c r="AV498" s="27">
        <v>3316.09</v>
      </c>
      <c r="AW498" s="27">
        <v>3388.99</v>
      </c>
    </row>
    <row r="499" spans="1:49" x14ac:dyDescent="0.35">
      <c r="A499" t="s">
        <v>11</v>
      </c>
      <c r="B499" t="s">
        <v>29</v>
      </c>
      <c r="C499" t="s">
        <v>34</v>
      </c>
      <c r="D499" t="s">
        <v>35</v>
      </c>
      <c r="F499" t="s">
        <v>36</v>
      </c>
      <c r="G499">
        <v>6.6210000000000004</v>
      </c>
      <c r="H499">
        <v>5.3609999999999998</v>
      </c>
      <c r="I499">
        <v>-0.38300000000000001</v>
      </c>
      <c r="J499">
        <v>-1.847</v>
      </c>
      <c r="K499">
        <v>5.0990000000000002</v>
      </c>
      <c r="L499">
        <v>-1.2110000000000001</v>
      </c>
      <c r="M499">
        <v>1.7999999999999999E-2</v>
      </c>
      <c r="N499">
        <v>2.101</v>
      </c>
      <c r="O499">
        <v>4.2</v>
      </c>
      <c r="P499">
        <v>2.395</v>
      </c>
      <c r="Q499">
        <v>-0.318</v>
      </c>
      <c r="R499">
        <v>-1.018</v>
      </c>
      <c r="S499">
        <v>-2.137</v>
      </c>
      <c r="T499">
        <v>1.234</v>
      </c>
      <c r="U499">
        <v>3.234</v>
      </c>
      <c r="V499">
        <v>3.1160000000000001</v>
      </c>
      <c r="W499">
        <v>4.3070000000000004</v>
      </c>
      <c r="X499">
        <v>2.6469999999999998</v>
      </c>
      <c r="Y499">
        <v>0.51700000000000002</v>
      </c>
      <c r="Z499">
        <v>2.3580000000000001</v>
      </c>
      <c r="AA499">
        <v>4.1550000000000002</v>
      </c>
      <c r="AB499">
        <v>2.7349999999999999</v>
      </c>
      <c r="AC499">
        <v>3.6680000000000001</v>
      </c>
      <c r="AD499">
        <v>2.9489999999999998</v>
      </c>
      <c r="AE499">
        <v>4.5549999999999997</v>
      </c>
      <c r="AF499">
        <v>5.2770000000000001</v>
      </c>
      <c r="AG499">
        <v>5.6040000000000001</v>
      </c>
      <c r="AH499">
        <v>5.36</v>
      </c>
      <c r="AI499">
        <v>3.1909999999999998</v>
      </c>
      <c r="AJ499">
        <v>-1.538</v>
      </c>
      <c r="AK499">
        <v>3.04</v>
      </c>
      <c r="AL499">
        <v>3.2839999999999998</v>
      </c>
      <c r="AM499">
        <v>2.2130000000000001</v>
      </c>
      <c r="AN499">
        <v>2.4889999999999999</v>
      </c>
      <c r="AO499">
        <v>1.7</v>
      </c>
      <c r="AP499">
        <v>1.2989999999999999</v>
      </c>
      <c r="AQ499">
        <v>0.27900000000000003</v>
      </c>
      <c r="AR499">
        <v>0.69499999999999995</v>
      </c>
      <c r="AS499">
        <v>1.0509999999999999</v>
      </c>
      <c r="AT499">
        <v>1.581</v>
      </c>
      <c r="AU499">
        <v>2.198</v>
      </c>
      <c r="AV499">
        <v>2.1989999999999998</v>
      </c>
      <c r="AW499">
        <v>2.1989999999999998</v>
      </c>
    </row>
    <row r="500" spans="1:49" x14ac:dyDescent="0.35">
      <c r="A500" t="s">
        <v>11</v>
      </c>
      <c r="B500" t="s">
        <v>37</v>
      </c>
      <c r="C500" t="s">
        <v>38</v>
      </c>
      <c r="D500" t="s">
        <v>31</v>
      </c>
      <c r="E500" t="s">
        <v>32</v>
      </c>
      <c r="F500" t="s">
        <v>199</v>
      </c>
      <c r="G500">
        <v>64.628</v>
      </c>
      <c r="H500">
        <v>74.994</v>
      </c>
      <c r="I500">
        <v>85.152000000000001</v>
      </c>
      <c r="J500">
        <v>97.39</v>
      </c>
      <c r="K500">
        <v>114.104</v>
      </c>
      <c r="L500">
        <v>131.67500000000001</v>
      </c>
      <c r="M500">
        <v>154.28899999999999</v>
      </c>
      <c r="N500">
        <v>180.339</v>
      </c>
      <c r="O500">
        <v>216.381</v>
      </c>
      <c r="P500">
        <v>259.726</v>
      </c>
      <c r="Q500">
        <v>298.971</v>
      </c>
      <c r="R500">
        <v>342.24400000000003</v>
      </c>
      <c r="S500">
        <v>383.72300000000001</v>
      </c>
      <c r="T500">
        <v>438.88400000000001</v>
      </c>
      <c r="U500">
        <v>496.233</v>
      </c>
      <c r="V500">
        <v>563.87</v>
      </c>
      <c r="W500">
        <v>634.61099999999999</v>
      </c>
      <c r="X500">
        <v>703.11699999999996</v>
      </c>
      <c r="Y500">
        <v>761.65800000000002</v>
      </c>
      <c r="Z500">
        <v>834.75300000000004</v>
      </c>
      <c r="AA500">
        <v>946.32399999999996</v>
      </c>
      <c r="AB500" s="27">
        <v>1046.1400000000001</v>
      </c>
      <c r="AC500" s="27">
        <v>1217.27</v>
      </c>
      <c r="AD500" s="27">
        <v>1325.77</v>
      </c>
      <c r="AE500" s="27">
        <v>1476.62</v>
      </c>
      <c r="AF500" s="27">
        <v>1639.25</v>
      </c>
      <c r="AG500" s="27">
        <v>1839.4</v>
      </c>
      <c r="AH500" s="27">
        <v>2109.5</v>
      </c>
      <c r="AI500" s="27">
        <v>2369.06</v>
      </c>
      <c r="AJ500" s="27">
        <v>2507.6799999999998</v>
      </c>
      <c r="AK500" s="27">
        <v>2748.01</v>
      </c>
      <c r="AL500" s="27">
        <v>3023.66</v>
      </c>
      <c r="AM500" s="27">
        <v>3253.85</v>
      </c>
      <c r="AN500" s="27">
        <v>3539.79</v>
      </c>
      <c r="AO500" s="27">
        <v>3807.68</v>
      </c>
      <c r="AP500" s="27">
        <v>4049.76</v>
      </c>
      <c r="AQ500" s="27">
        <v>4338.8599999999997</v>
      </c>
      <c r="AR500" s="27">
        <v>4610.46</v>
      </c>
      <c r="AS500" s="27">
        <v>4911.71</v>
      </c>
      <c r="AT500" s="27">
        <v>5268.79</v>
      </c>
      <c r="AU500" s="27">
        <v>5686.15</v>
      </c>
      <c r="AV500" s="27">
        <v>6136.59</v>
      </c>
      <c r="AW500" s="27">
        <v>6622.71</v>
      </c>
    </row>
    <row r="501" spans="1:49" x14ac:dyDescent="0.35">
      <c r="A501" t="s">
        <v>11</v>
      </c>
      <c r="B501" t="s">
        <v>37</v>
      </c>
      <c r="C501" t="s">
        <v>40</v>
      </c>
      <c r="D501" t="s">
        <v>41</v>
      </c>
      <c r="E501" t="s">
        <v>32</v>
      </c>
      <c r="F501" t="s">
        <v>42</v>
      </c>
      <c r="G501">
        <v>82.980999999999995</v>
      </c>
      <c r="H501">
        <v>85.462999999999994</v>
      </c>
      <c r="I501">
        <v>78.415000000000006</v>
      </c>
      <c r="J501">
        <v>87.417000000000002</v>
      </c>
      <c r="K501">
        <v>77.314999999999998</v>
      </c>
      <c r="L501">
        <v>59.101999999999997</v>
      </c>
      <c r="M501">
        <v>67.561999999999998</v>
      </c>
      <c r="N501">
        <v>88.572000000000003</v>
      </c>
      <c r="O501">
        <v>95.206999999999994</v>
      </c>
      <c r="P501">
        <v>99.043999999999997</v>
      </c>
      <c r="Q501">
        <v>115.533</v>
      </c>
      <c r="R501">
        <v>123.964</v>
      </c>
      <c r="S501">
        <v>134.55699999999999</v>
      </c>
      <c r="T501">
        <v>134.345</v>
      </c>
      <c r="U501">
        <v>139.804</v>
      </c>
      <c r="V501">
        <v>155.46100000000001</v>
      </c>
      <c r="W501">
        <v>147.70099999999999</v>
      </c>
      <c r="X501">
        <v>152.61099999999999</v>
      </c>
      <c r="Y501">
        <v>137.68600000000001</v>
      </c>
      <c r="Z501">
        <v>136.55000000000001</v>
      </c>
      <c r="AA501">
        <v>136.453</v>
      </c>
      <c r="AB501">
        <v>121.602</v>
      </c>
      <c r="AC501">
        <v>115.748</v>
      </c>
      <c r="AD501">
        <v>175.25399999999999</v>
      </c>
      <c r="AE501">
        <v>228.93100000000001</v>
      </c>
      <c r="AF501">
        <v>257.66699999999997</v>
      </c>
      <c r="AG501">
        <v>271.81200000000001</v>
      </c>
      <c r="AH501">
        <v>299.03300000000002</v>
      </c>
      <c r="AI501">
        <v>287.09500000000003</v>
      </c>
      <c r="AJ501">
        <v>297.221</v>
      </c>
      <c r="AK501">
        <v>375.30399999999997</v>
      </c>
      <c r="AL501">
        <v>416.87900000000002</v>
      </c>
      <c r="AM501">
        <v>396.33199999999999</v>
      </c>
      <c r="AN501">
        <v>366.80200000000002</v>
      </c>
      <c r="AO501">
        <v>351.11599999999999</v>
      </c>
      <c r="AP501">
        <v>317.56799999999998</v>
      </c>
      <c r="AQ501">
        <v>294.89999999999998</v>
      </c>
      <c r="AR501">
        <v>344.06400000000002</v>
      </c>
      <c r="AS501">
        <v>361.15499999999997</v>
      </c>
      <c r="AT501">
        <v>374.255</v>
      </c>
      <c r="AU501">
        <v>389.6</v>
      </c>
      <c r="AV501">
        <v>404.279</v>
      </c>
      <c r="AW501">
        <v>419.392</v>
      </c>
    </row>
    <row r="502" spans="1:49" x14ac:dyDescent="0.35">
      <c r="A502" t="s">
        <v>11</v>
      </c>
      <c r="B502" t="s">
        <v>37</v>
      </c>
      <c r="C502" t="s">
        <v>43</v>
      </c>
      <c r="D502" t="s">
        <v>44</v>
      </c>
      <c r="E502" t="s">
        <v>32</v>
      </c>
      <c r="F502" t="s">
        <v>42</v>
      </c>
      <c r="G502">
        <v>134.666</v>
      </c>
      <c r="H502">
        <v>155.13300000000001</v>
      </c>
      <c r="I502">
        <v>164.12700000000001</v>
      </c>
      <c r="J502">
        <v>167.45500000000001</v>
      </c>
      <c r="K502">
        <v>182.24</v>
      </c>
      <c r="L502">
        <v>185.79300000000001</v>
      </c>
      <c r="M502">
        <v>189.57300000000001</v>
      </c>
      <c r="N502">
        <v>198.495</v>
      </c>
      <c r="O502">
        <v>214.07300000000001</v>
      </c>
      <c r="P502">
        <v>227.72300000000001</v>
      </c>
      <c r="Q502">
        <v>235.39500000000001</v>
      </c>
      <c r="R502">
        <v>240.75399999999999</v>
      </c>
      <c r="S502">
        <v>240.98</v>
      </c>
      <c r="T502">
        <v>249.756</v>
      </c>
      <c r="U502">
        <v>263.32100000000003</v>
      </c>
      <c r="V502">
        <v>277.18799999999999</v>
      </c>
      <c r="W502">
        <v>294.40300000000002</v>
      </c>
      <c r="X502">
        <v>307.36900000000003</v>
      </c>
      <c r="Y502">
        <v>312.31200000000001</v>
      </c>
      <c r="Z502">
        <v>324.56900000000002</v>
      </c>
      <c r="AA502">
        <v>345.745</v>
      </c>
      <c r="AB502">
        <v>363.298</v>
      </c>
      <c r="AC502">
        <v>382.40499999999997</v>
      </c>
      <c r="AD502">
        <v>401.53199999999998</v>
      </c>
      <c r="AE502">
        <v>431.36500000000001</v>
      </c>
      <c r="AF502">
        <v>468.73899999999998</v>
      </c>
      <c r="AG502">
        <v>510.21600000000001</v>
      </c>
      <c r="AH502">
        <v>551.87</v>
      </c>
      <c r="AI502">
        <v>580.65200000000004</v>
      </c>
      <c r="AJ502">
        <v>576.06200000000001</v>
      </c>
      <c r="AK502">
        <v>600.82500000000005</v>
      </c>
      <c r="AL502">
        <v>633.36800000000005</v>
      </c>
      <c r="AM502">
        <v>659.31100000000004</v>
      </c>
      <c r="AN502">
        <v>686.63599999999997</v>
      </c>
      <c r="AO502">
        <v>710.83900000000006</v>
      </c>
      <c r="AP502">
        <v>727.88</v>
      </c>
      <c r="AQ502">
        <v>739.226</v>
      </c>
      <c r="AR502">
        <v>757.33399999999995</v>
      </c>
      <c r="AS502">
        <v>780.14700000000005</v>
      </c>
      <c r="AT502">
        <v>809.39599999999996</v>
      </c>
      <c r="AU502">
        <v>844.58799999999997</v>
      </c>
      <c r="AV502">
        <v>881.08399999999995</v>
      </c>
      <c r="AW502">
        <v>917.78200000000004</v>
      </c>
    </row>
    <row r="503" spans="1:49" x14ac:dyDescent="0.35">
      <c r="A503" t="s">
        <v>11</v>
      </c>
      <c r="B503" t="s">
        <v>45</v>
      </c>
      <c r="C503" t="s">
        <v>46</v>
      </c>
      <c r="D503" t="s">
        <v>47</v>
      </c>
      <c r="F503" t="s">
        <v>48</v>
      </c>
      <c r="G503">
        <v>4.5999999999999996</v>
      </c>
      <c r="H503">
        <v>5.0659999999999998</v>
      </c>
      <c r="I503">
        <v>5.7750000000000004</v>
      </c>
      <c r="J503">
        <v>6.7290000000000001</v>
      </c>
      <c r="K503">
        <v>7.5010000000000003</v>
      </c>
      <c r="L503">
        <v>8.7629999999999999</v>
      </c>
      <c r="M503">
        <v>10.266</v>
      </c>
      <c r="N503">
        <v>11.752000000000001</v>
      </c>
      <c r="O503">
        <v>13.532</v>
      </c>
      <c r="P503">
        <v>15.863</v>
      </c>
      <c r="Q503">
        <v>18.318999999999999</v>
      </c>
      <c r="R503">
        <v>21.186</v>
      </c>
      <c r="S503">
        <v>24.271999999999998</v>
      </c>
      <c r="T503">
        <v>27.422999999999998</v>
      </c>
      <c r="U503">
        <v>30.035</v>
      </c>
      <c r="V503">
        <v>33.097999999999999</v>
      </c>
      <c r="W503">
        <v>35.712000000000003</v>
      </c>
      <c r="X503">
        <v>38.546999999999997</v>
      </c>
      <c r="Y503">
        <v>41.540999999999997</v>
      </c>
      <c r="Z503">
        <v>44.478999999999999</v>
      </c>
      <c r="AA503">
        <v>48.412999999999997</v>
      </c>
      <c r="AB503">
        <v>52.094000000000001</v>
      </c>
      <c r="AC503">
        <v>58.470999999999997</v>
      </c>
      <c r="AD503">
        <v>61.857999999999997</v>
      </c>
      <c r="AE503">
        <v>65.896000000000001</v>
      </c>
      <c r="AF503">
        <v>69.486000000000004</v>
      </c>
      <c r="AG503">
        <v>73.832999999999998</v>
      </c>
      <c r="AH503">
        <v>80.367000000000004</v>
      </c>
      <c r="AI503">
        <v>87.463999999999999</v>
      </c>
      <c r="AJ503">
        <v>94.028000000000006</v>
      </c>
      <c r="AK503">
        <v>100</v>
      </c>
      <c r="AL503">
        <v>106.532</v>
      </c>
      <c r="AM503">
        <v>112.16</v>
      </c>
      <c r="AN503">
        <v>119.053</v>
      </c>
      <c r="AO503">
        <v>125.922</v>
      </c>
      <c r="AP503">
        <v>132.21100000000001</v>
      </c>
      <c r="AQ503">
        <v>141.255</v>
      </c>
      <c r="AR503">
        <v>149.06</v>
      </c>
      <c r="AS503">
        <v>157.148</v>
      </c>
      <c r="AT503">
        <v>165.94800000000001</v>
      </c>
      <c r="AU503">
        <v>175.24199999999999</v>
      </c>
      <c r="AV503">
        <v>185.05500000000001</v>
      </c>
      <c r="AW503">
        <v>195.41800000000001</v>
      </c>
    </row>
    <row r="504" spans="1:49" x14ac:dyDescent="0.35">
      <c r="A504" t="s">
        <v>11</v>
      </c>
      <c r="B504" t="s">
        <v>49</v>
      </c>
      <c r="C504" t="s">
        <v>50</v>
      </c>
      <c r="D504" t="s">
        <v>31</v>
      </c>
      <c r="E504" t="s">
        <v>26</v>
      </c>
      <c r="F504" t="s">
        <v>51</v>
      </c>
      <c r="G504" s="27">
        <v>48311.55</v>
      </c>
      <c r="H504" s="27">
        <v>49621.62</v>
      </c>
      <c r="I504" s="27">
        <v>48171.77</v>
      </c>
      <c r="J504" s="27">
        <v>46078</v>
      </c>
      <c r="K504" s="27">
        <v>47224.78</v>
      </c>
      <c r="L504" s="27">
        <v>45563.43</v>
      </c>
      <c r="M504" s="27">
        <v>44558.26</v>
      </c>
      <c r="N504" s="27">
        <v>44530.559999999998</v>
      </c>
      <c r="O504" s="27">
        <v>45425.43</v>
      </c>
      <c r="P504" s="27">
        <v>45517.57</v>
      </c>
      <c r="Q504" s="27">
        <v>44361.62</v>
      </c>
      <c r="R504" s="27">
        <v>42861.37</v>
      </c>
      <c r="S504" s="27">
        <v>40903.57</v>
      </c>
      <c r="T504" s="27">
        <v>40394.35</v>
      </c>
      <c r="U504" s="27">
        <v>40734.32</v>
      </c>
      <c r="V504" s="27">
        <v>41121.410000000003</v>
      </c>
      <c r="W504" s="27">
        <v>42099.79</v>
      </c>
      <c r="X504" s="27">
        <v>42499.23</v>
      </c>
      <c r="Y504" s="27">
        <v>42072.14</v>
      </c>
      <c r="Z504" s="27">
        <v>42431.38</v>
      </c>
      <c r="AA504" s="27">
        <v>43534.74</v>
      </c>
      <c r="AB504" s="27">
        <v>44058.38</v>
      </c>
      <c r="AC504" s="27">
        <v>45335.18</v>
      </c>
      <c r="AD504" s="27">
        <v>46129.7</v>
      </c>
      <c r="AE504" s="27">
        <v>47656.3</v>
      </c>
      <c r="AF504" s="27">
        <v>49558.82</v>
      </c>
      <c r="AG504" s="27">
        <v>51681.26</v>
      </c>
      <c r="AH504" s="27">
        <v>53754.66</v>
      </c>
      <c r="AI504" s="27">
        <v>54742.42</v>
      </c>
      <c r="AJ504" s="27">
        <v>53177.120000000003</v>
      </c>
      <c r="AK504" s="27">
        <v>54041.46</v>
      </c>
      <c r="AL504" s="27">
        <v>55032.73</v>
      </c>
      <c r="AM504" s="27">
        <v>55443.4</v>
      </c>
      <c r="AN504" s="27">
        <v>55989.98</v>
      </c>
      <c r="AO504" s="27">
        <v>56088.18</v>
      </c>
      <c r="AP504" s="27">
        <v>55947.05</v>
      </c>
      <c r="AQ504" s="27">
        <v>55225.78</v>
      </c>
      <c r="AR504" s="27">
        <v>54739.98</v>
      </c>
      <c r="AS504" s="27">
        <v>54450.080000000002</v>
      </c>
      <c r="AT504" s="27">
        <v>54445.98</v>
      </c>
      <c r="AU504" s="27">
        <v>54772.480000000003</v>
      </c>
      <c r="AV504" s="27">
        <v>55101.13</v>
      </c>
      <c r="AW504" s="27">
        <v>55431.75</v>
      </c>
    </row>
    <row r="505" spans="1:49" x14ac:dyDescent="0.35">
      <c r="A505" t="s">
        <v>11</v>
      </c>
      <c r="B505" t="s">
        <v>49</v>
      </c>
      <c r="C505" t="s">
        <v>52</v>
      </c>
      <c r="D505" t="s">
        <v>53</v>
      </c>
      <c r="E505" t="s">
        <v>26</v>
      </c>
      <c r="F505" t="s">
        <v>51</v>
      </c>
      <c r="G505" s="27">
        <v>10780.9</v>
      </c>
      <c r="H505" s="27">
        <v>11073.25</v>
      </c>
      <c r="I505" s="27">
        <v>10749.71</v>
      </c>
      <c r="J505" s="27">
        <v>10282.48</v>
      </c>
      <c r="K505" s="27">
        <v>10538.39</v>
      </c>
      <c r="L505" s="27">
        <v>10167.65</v>
      </c>
      <c r="M505" s="27">
        <v>9943.34</v>
      </c>
      <c r="N505" s="27">
        <v>9937.16</v>
      </c>
      <c r="O505" s="27">
        <v>10136.85</v>
      </c>
      <c r="P505" s="27">
        <v>10157.42</v>
      </c>
      <c r="Q505" s="27">
        <v>9899.4599999999991</v>
      </c>
      <c r="R505" s="27">
        <v>9564.67</v>
      </c>
      <c r="S505" s="27">
        <v>9127.7800000000007</v>
      </c>
      <c r="T505" s="27">
        <v>9014.15</v>
      </c>
      <c r="U505" s="27">
        <v>9090.02</v>
      </c>
      <c r="V505" s="27">
        <v>9176.4</v>
      </c>
      <c r="W505" s="27">
        <v>9394.7199999999993</v>
      </c>
      <c r="X505" s="27">
        <v>9483.86</v>
      </c>
      <c r="Y505" s="27">
        <v>9388.56</v>
      </c>
      <c r="Z505" s="27">
        <v>9468.7199999999993</v>
      </c>
      <c r="AA505" s="27">
        <v>9714.94</v>
      </c>
      <c r="AB505" s="27">
        <v>9831.7900000000009</v>
      </c>
      <c r="AC505" s="27">
        <v>10116.719999999999</v>
      </c>
      <c r="AD505" s="27">
        <v>10294.02</v>
      </c>
      <c r="AE505" s="27">
        <v>10634.68</v>
      </c>
      <c r="AF505" s="27">
        <v>11059.24</v>
      </c>
      <c r="AG505" s="27">
        <v>11532.87</v>
      </c>
      <c r="AH505" s="27">
        <v>11995.55</v>
      </c>
      <c r="AI505" s="27">
        <v>12215.97</v>
      </c>
      <c r="AJ505" s="27">
        <v>11866.67</v>
      </c>
      <c r="AK505" s="27">
        <v>12059.55</v>
      </c>
      <c r="AL505" s="27">
        <v>12280.76</v>
      </c>
      <c r="AM505" s="27">
        <v>12372.4</v>
      </c>
      <c r="AN505" s="27">
        <v>12494.37</v>
      </c>
      <c r="AO505" s="27">
        <v>12516.29</v>
      </c>
      <c r="AP505" s="27">
        <v>12484.79</v>
      </c>
      <c r="AQ505" s="27">
        <v>12323.84</v>
      </c>
      <c r="AR505" s="27">
        <v>12215.43</v>
      </c>
      <c r="AS505" s="27">
        <v>12150.74</v>
      </c>
      <c r="AT505" s="27">
        <v>12149.82</v>
      </c>
      <c r="AU505" s="27">
        <v>12222.68</v>
      </c>
      <c r="AV505" s="27">
        <v>12296.02</v>
      </c>
      <c r="AW505" s="27">
        <v>12369.8</v>
      </c>
    </row>
    <row r="506" spans="1:49" x14ac:dyDescent="0.35">
      <c r="A506" t="s">
        <v>11</v>
      </c>
      <c r="B506" t="s">
        <v>54</v>
      </c>
      <c r="C506" t="s">
        <v>55</v>
      </c>
      <c r="D506" t="s">
        <v>31</v>
      </c>
      <c r="E506" t="s">
        <v>26</v>
      </c>
      <c r="F506" t="s">
        <v>56</v>
      </c>
      <c r="G506" s="27">
        <v>2222.42</v>
      </c>
      <c r="H506" s="27">
        <v>2514.0500000000002</v>
      </c>
      <c r="I506" s="27">
        <v>2781.84</v>
      </c>
      <c r="J506" s="27">
        <v>3100.61</v>
      </c>
      <c r="K506" s="27">
        <v>3542.5</v>
      </c>
      <c r="L506" s="27">
        <v>3992.57</v>
      </c>
      <c r="M506" s="27">
        <v>4574.24</v>
      </c>
      <c r="N506" s="27">
        <v>5233.29</v>
      </c>
      <c r="O506" s="27">
        <v>6147.19</v>
      </c>
      <c r="P506" s="27">
        <v>7220.63</v>
      </c>
      <c r="Q506" s="27">
        <v>8126.42</v>
      </c>
      <c r="R506" s="27">
        <v>9080.5</v>
      </c>
      <c r="S506" s="27">
        <v>9928.15</v>
      </c>
      <c r="T506" s="27">
        <v>11077.34</v>
      </c>
      <c r="U506" s="27">
        <v>12234.54</v>
      </c>
      <c r="V506" s="27">
        <v>13610.19</v>
      </c>
      <c r="W506" s="27">
        <v>15034.61</v>
      </c>
      <c r="X506" s="27">
        <v>16382.04</v>
      </c>
      <c r="Y506" s="27">
        <v>17477.240000000002</v>
      </c>
      <c r="Z506" s="27">
        <v>18873.009999999998</v>
      </c>
      <c r="AA506" s="27">
        <v>21076.26</v>
      </c>
      <c r="AB506" s="27">
        <v>22951.82</v>
      </c>
      <c r="AC506" s="27">
        <v>26507.81</v>
      </c>
      <c r="AD506" s="27">
        <v>28535.03</v>
      </c>
      <c r="AE506" s="27">
        <v>31403.48</v>
      </c>
      <c r="AF506" s="27">
        <v>34436.660000000003</v>
      </c>
      <c r="AG506" s="27">
        <v>38157.870000000003</v>
      </c>
      <c r="AH506" s="27">
        <v>43200.94</v>
      </c>
      <c r="AI506" s="27">
        <v>47880.17</v>
      </c>
      <c r="AJ506" s="27">
        <v>50001.54</v>
      </c>
      <c r="AK506" s="27">
        <v>54041.46</v>
      </c>
      <c r="AL506" s="27">
        <v>58627.58</v>
      </c>
      <c r="AM506" s="27">
        <v>62185.4</v>
      </c>
      <c r="AN506" s="27">
        <v>66657.69</v>
      </c>
      <c r="AO506" s="27">
        <v>70627.62</v>
      </c>
      <c r="AP506" s="27">
        <v>73968.2</v>
      </c>
      <c r="AQ506" s="27">
        <v>78008.95</v>
      </c>
      <c r="AR506" s="27">
        <v>81595.600000000006</v>
      </c>
      <c r="AS506" s="27">
        <v>85567.32</v>
      </c>
      <c r="AT506" s="27">
        <v>90352.29</v>
      </c>
      <c r="AU506" s="27">
        <v>95984.18</v>
      </c>
      <c r="AV506" s="27">
        <v>101967.47</v>
      </c>
      <c r="AW506" s="27">
        <v>108323.75</v>
      </c>
    </row>
    <row r="507" spans="1:49" x14ac:dyDescent="0.35">
      <c r="A507" t="s">
        <v>11</v>
      </c>
      <c r="B507" t="s">
        <v>54</v>
      </c>
      <c r="C507" t="s">
        <v>57</v>
      </c>
      <c r="D507" t="s">
        <v>41</v>
      </c>
      <c r="E507" t="s">
        <v>26</v>
      </c>
      <c r="F507" t="s">
        <v>56</v>
      </c>
      <c r="G507" s="27">
        <v>2853.53</v>
      </c>
      <c r="H507" s="27">
        <v>2865.01</v>
      </c>
      <c r="I507" s="27">
        <v>2561.7399999999998</v>
      </c>
      <c r="J507" s="27">
        <v>2783.1</v>
      </c>
      <c r="K507" s="27">
        <v>2400.34</v>
      </c>
      <c r="L507" s="27">
        <v>1792.07</v>
      </c>
      <c r="M507" s="27">
        <v>2003.02</v>
      </c>
      <c r="N507" s="27">
        <v>2570.27</v>
      </c>
      <c r="O507" s="27">
        <v>2704.74</v>
      </c>
      <c r="P507" s="27">
        <v>2753.51</v>
      </c>
      <c r="Q507" s="27">
        <v>3140.34</v>
      </c>
      <c r="R507" s="27">
        <v>3289.04</v>
      </c>
      <c r="S507" s="27">
        <v>3481.42</v>
      </c>
      <c r="T507" s="27">
        <v>3390.85</v>
      </c>
      <c r="U507" s="27">
        <v>3446.84</v>
      </c>
      <c r="V507" s="27">
        <v>3752.38</v>
      </c>
      <c r="W507" s="27">
        <v>3499.2</v>
      </c>
      <c r="X507" s="27">
        <v>3555.71</v>
      </c>
      <c r="Y507" s="27">
        <v>3159.39</v>
      </c>
      <c r="Z507" s="27">
        <v>3087.27</v>
      </c>
      <c r="AA507" s="27">
        <v>3039.04</v>
      </c>
      <c r="AB507" s="27">
        <v>2667.89</v>
      </c>
      <c r="AC507" s="27">
        <v>2520.59</v>
      </c>
      <c r="AD507" s="27">
        <v>3772.06</v>
      </c>
      <c r="AE507" s="27">
        <v>4868.6899999999996</v>
      </c>
      <c r="AF507" s="27">
        <v>5412.94</v>
      </c>
      <c r="AG507" s="27">
        <v>5638.68</v>
      </c>
      <c r="AH507" s="27">
        <v>6123.96</v>
      </c>
      <c r="AI507" s="27">
        <v>5802.37</v>
      </c>
      <c r="AJ507" s="27">
        <v>5926.4</v>
      </c>
      <c r="AK507" s="27">
        <v>7380.61</v>
      </c>
      <c r="AL507" s="27">
        <v>8083.13</v>
      </c>
      <c r="AM507" s="27">
        <v>7574.43</v>
      </c>
      <c r="AN507" s="27">
        <v>6907.23</v>
      </c>
      <c r="AO507" s="27">
        <v>6512.76</v>
      </c>
      <c r="AP507" s="27">
        <v>5800.33</v>
      </c>
      <c r="AQ507" s="27">
        <v>5302.04</v>
      </c>
      <c r="AR507" s="27">
        <v>6089.22</v>
      </c>
      <c r="AS507" s="27">
        <v>6291.72</v>
      </c>
      <c r="AT507" s="27">
        <v>6417.94</v>
      </c>
      <c r="AU507" s="27">
        <v>6576.58</v>
      </c>
      <c r="AV507" s="27">
        <v>6717.63</v>
      </c>
      <c r="AW507" s="27">
        <v>6859.74</v>
      </c>
    </row>
    <row r="508" spans="1:49" x14ac:dyDescent="0.35">
      <c r="A508" t="s">
        <v>11</v>
      </c>
      <c r="B508" t="s">
        <v>54</v>
      </c>
      <c r="C508" t="s">
        <v>58</v>
      </c>
      <c r="D508" t="s">
        <v>44</v>
      </c>
      <c r="E508" t="s">
        <v>26</v>
      </c>
      <c r="F508" t="s">
        <v>56</v>
      </c>
      <c r="G508" s="27">
        <v>4630.88</v>
      </c>
      <c r="H508" s="27">
        <v>5200.57</v>
      </c>
      <c r="I508" s="27">
        <v>5361.86</v>
      </c>
      <c r="J508" s="27">
        <v>5331.27</v>
      </c>
      <c r="K508" s="27">
        <v>5657.86</v>
      </c>
      <c r="L508" s="27">
        <v>5633.51</v>
      </c>
      <c r="M508" s="27">
        <v>5620.3</v>
      </c>
      <c r="N508" s="27">
        <v>5760.16</v>
      </c>
      <c r="O508" s="27">
        <v>6081.61</v>
      </c>
      <c r="P508" s="27">
        <v>6330.91</v>
      </c>
      <c r="Q508" s="27">
        <v>6398.35</v>
      </c>
      <c r="R508" s="27">
        <v>6387.73</v>
      </c>
      <c r="S508" s="27">
        <v>6234.93</v>
      </c>
      <c r="T508" s="27">
        <v>6303.79</v>
      </c>
      <c r="U508" s="27">
        <v>6492.14</v>
      </c>
      <c r="V508" s="27">
        <v>6690.52</v>
      </c>
      <c r="W508" s="27">
        <v>6974.71</v>
      </c>
      <c r="X508" s="27">
        <v>7161.44</v>
      </c>
      <c r="Y508" s="27">
        <v>7166.4</v>
      </c>
      <c r="Z508" s="27">
        <v>7338.2</v>
      </c>
      <c r="AA508" s="27">
        <v>7700.33</v>
      </c>
      <c r="AB508" s="27">
        <v>7970.55</v>
      </c>
      <c r="AC508" s="27">
        <v>8327.4500000000007</v>
      </c>
      <c r="AD508" s="27">
        <v>8642.34</v>
      </c>
      <c r="AE508" s="27">
        <v>9173.8700000000008</v>
      </c>
      <c r="AF508" s="27">
        <v>9847.0400000000009</v>
      </c>
      <c r="AG508" s="27">
        <v>10584.29</v>
      </c>
      <c r="AH508" s="27">
        <v>11301.86</v>
      </c>
      <c r="AI508" s="27">
        <v>11735.31</v>
      </c>
      <c r="AJ508" s="27">
        <v>11486.33</v>
      </c>
      <c r="AK508" s="27">
        <v>11815.64</v>
      </c>
      <c r="AL508" s="27">
        <v>12280.76</v>
      </c>
      <c r="AM508" s="27">
        <v>12600.32</v>
      </c>
      <c r="AN508" s="27">
        <v>12930.02</v>
      </c>
      <c r="AO508" s="27">
        <v>13185.17</v>
      </c>
      <c r="AP508" s="27">
        <v>13294.6</v>
      </c>
      <c r="AQ508" s="27">
        <v>13290.65</v>
      </c>
      <c r="AR508" s="27">
        <v>13403.23</v>
      </c>
      <c r="AS508" s="27">
        <v>13591.02</v>
      </c>
      <c r="AT508" s="27">
        <v>13880</v>
      </c>
      <c r="AU508" s="27">
        <v>14256.94</v>
      </c>
      <c r="AV508" s="27">
        <v>14640.36</v>
      </c>
      <c r="AW508" s="27">
        <v>15011.61</v>
      </c>
    </row>
    <row r="509" spans="1:49" x14ac:dyDescent="0.35">
      <c r="A509" t="s">
        <v>11</v>
      </c>
      <c r="B509" t="s">
        <v>59</v>
      </c>
      <c r="C509" t="s">
        <v>60</v>
      </c>
      <c r="D509" t="s">
        <v>61</v>
      </c>
    </row>
    <row r="510" spans="1:49" x14ac:dyDescent="0.35">
      <c r="A510" t="s">
        <v>11</v>
      </c>
      <c r="B510" t="s">
        <v>62</v>
      </c>
      <c r="C510" t="s">
        <v>63</v>
      </c>
      <c r="D510" t="s">
        <v>64</v>
      </c>
      <c r="F510" t="s">
        <v>42</v>
      </c>
      <c r="G510">
        <v>1.026</v>
      </c>
      <c r="H510">
        <v>1.0620000000000001</v>
      </c>
      <c r="I510">
        <v>1.052</v>
      </c>
      <c r="J510">
        <v>1.008</v>
      </c>
      <c r="K510">
        <v>1.0149999999999999</v>
      </c>
      <c r="L510">
        <v>0.96599999999999997</v>
      </c>
      <c r="M510">
        <v>0.93400000000000005</v>
      </c>
      <c r="N510">
        <v>0.91800000000000004</v>
      </c>
      <c r="O510">
        <v>0.91500000000000004</v>
      </c>
      <c r="P510">
        <v>0.90300000000000002</v>
      </c>
      <c r="Q510">
        <v>0.86499999999999999</v>
      </c>
      <c r="R510">
        <v>0.83599999999999997</v>
      </c>
      <c r="S510">
        <v>0.73499999999999999</v>
      </c>
      <c r="T510">
        <v>0.72899999999999998</v>
      </c>
      <c r="U510">
        <v>0.73099999999999998</v>
      </c>
      <c r="V510">
        <v>0.72699999999999998</v>
      </c>
      <c r="W510">
        <v>0.73</v>
      </c>
      <c r="X510">
        <v>0.72</v>
      </c>
      <c r="Y510">
        <v>0.70499999999999996</v>
      </c>
      <c r="Z510">
        <v>0.69699999999999995</v>
      </c>
      <c r="AA510">
        <v>0.69299999999999995</v>
      </c>
      <c r="AB510">
        <v>0.69499999999999995</v>
      </c>
      <c r="AC510">
        <v>0.70099999999999996</v>
      </c>
      <c r="AD510">
        <v>0.69299999999999995</v>
      </c>
      <c r="AE510">
        <v>0.68899999999999995</v>
      </c>
      <c r="AF510">
        <v>0.69199999999999995</v>
      </c>
      <c r="AG510">
        <v>0.69399999999999995</v>
      </c>
      <c r="AH510">
        <v>0.69299999999999995</v>
      </c>
      <c r="AI510">
        <v>0.69499999999999995</v>
      </c>
      <c r="AJ510">
        <v>0.68799999999999994</v>
      </c>
      <c r="AK510">
        <v>0.67300000000000004</v>
      </c>
      <c r="AL510">
        <v>0.66800000000000004</v>
      </c>
      <c r="AM510">
        <v>0.66200000000000003</v>
      </c>
      <c r="AN510">
        <v>0.65600000000000003</v>
      </c>
      <c r="AO510">
        <v>0.64500000000000002</v>
      </c>
      <c r="AP510">
        <v>0.63200000000000001</v>
      </c>
      <c r="AQ510">
        <v>0.61499999999999999</v>
      </c>
      <c r="AR510">
        <v>0.59799999999999998</v>
      </c>
      <c r="AS510">
        <v>0.58299999999999996</v>
      </c>
      <c r="AT510">
        <v>0.57099999999999995</v>
      </c>
      <c r="AU510">
        <v>0.56299999999999994</v>
      </c>
      <c r="AV510">
        <v>0.55500000000000005</v>
      </c>
      <c r="AW510">
        <v>0.54700000000000004</v>
      </c>
    </row>
    <row r="511" spans="1:49" x14ac:dyDescent="0.35">
      <c r="A511" t="s">
        <v>11</v>
      </c>
      <c r="B511" t="s">
        <v>65</v>
      </c>
      <c r="C511" t="s">
        <v>66</v>
      </c>
      <c r="D511" t="s">
        <v>67</v>
      </c>
      <c r="F511" t="s">
        <v>42</v>
      </c>
      <c r="G511">
        <v>0.48</v>
      </c>
      <c r="H511">
        <v>0.48299999999999998</v>
      </c>
      <c r="I511">
        <v>0.51900000000000002</v>
      </c>
      <c r="J511">
        <v>0.58199999999999996</v>
      </c>
      <c r="K511">
        <v>0.626</v>
      </c>
      <c r="L511">
        <v>0.70899999999999996</v>
      </c>
      <c r="M511">
        <v>0.81399999999999995</v>
      </c>
      <c r="N511">
        <v>0.90900000000000003</v>
      </c>
      <c r="O511">
        <v>1.0109999999999999</v>
      </c>
      <c r="P511">
        <v>1.141</v>
      </c>
      <c r="Q511">
        <v>1.27</v>
      </c>
      <c r="R511">
        <v>1.4219999999999999</v>
      </c>
      <c r="S511">
        <v>1.5920000000000001</v>
      </c>
      <c r="T511">
        <v>1.7569999999999999</v>
      </c>
      <c r="U511">
        <v>1.885</v>
      </c>
      <c r="V511">
        <v>2.0339999999999998</v>
      </c>
      <c r="W511">
        <v>2.1560000000000001</v>
      </c>
      <c r="X511">
        <v>2.2879999999999998</v>
      </c>
      <c r="Y511">
        <v>2.4390000000000001</v>
      </c>
      <c r="Z511">
        <v>2.5720000000000001</v>
      </c>
      <c r="AA511">
        <v>2.7370000000000001</v>
      </c>
      <c r="AB511">
        <v>2.88</v>
      </c>
      <c r="AC511">
        <v>3.1829999999999998</v>
      </c>
      <c r="AD511">
        <v>3.302</v>
      </c>
      <c r="AE511">
        <v>3.423</v>
      </c>
      <c r="AF511">
        <v>3.4969999999999999</v>
      </c>
      <c r="AG511">
        <v>3.605</v>
      </c>
      <c r="AH511">
        <v>3.8220000000000001</v>
      </c>
      <c r="AI511">
        <v>4.08</v>
      </c>
      <c r="AJ511">
        <v>4.3529999999999998</v>
      </c>
      <c r="AK511">
        <v>4.5739999999999998</v>
      </c>
      <c r="AL511">
        <v>4.774</v>
      </c>
      <c r="AM511">
        <v>4.9349999999999996</v>
      </c>
      <c r="AN511">
        <v>5.1550000000000002</v>
      </c>
      <c r="AO511">
        <v>5.3570000000000002</v>
      </c>
      <c r="AP511">
        <v>5.5640000000000001</v>
      </c>
      <c r="AQ511">
        <v>5.8689999999999998</v>
      </c>
      <c r="AR511">
        <v>6.0880000000000001</v>
      </c>
      <c r="AS511">
        <v>6.2960000000000003</v>
      </c>
      <c r="AT511">
        <v>6.51</v>
      </c>
      <c r="AU511">
        <v>6.7320000000000002</v>
      </c>
      <c r="AV511">
        <v>6.9649999999999999</v>
      </c>
      <c r="AW511">
        <v>7.2160000000000002</v>
      </c>
    </row>
    <row r="512" spans="1:49" x14ac:dyDescent="0.35">
      <c r="A512" t="s">
        <v>11</v>
      </c>
      <c r="B512" t="s">
        <v>68</v>
      </c>
      <c r="C512" t="s">
        <v>69</v>
      </c>
      <c r="D512" t="s">
        <v>70</v>
      </c>
      <c r="F512" t="s">
        <v>199</v>
      </c>
      <c r="G512">
        <v>31.356000000000002</v>
      </c>
      <c r="H512">
        <v>34.115000000000002</v>
      </c>
      <c r="I512">
        <v>26.529</v>
      </c>
      <c r="J512">
        <v>27.172999999999998</v>
      </c>
      <c r="K512">
        <v>25.542999999999999</v>
      </c>
      <c r="L512">
        <v>22.05</v>
      </c>
      <c r="M512">
        <v>21.021000000000001</v>
      </c>
      <c r="N512">
        <v>17.783999999999999</v>
      </c>
      <c r="O512">
        <v>21.228000000000002</v>
      </c>
      <c r="P512">
        <v>22.745999999999999</v>
      </c>
      <c r="Q512">
        <v>19.413</v>
      </c>
      <c r="R512">
        <v>19.024999999999999</v>
      </c>
      <c r="S512">
        <v>16.768999999999998</v>
      </c>
      <c r="T512">
        <v>15.162000000000001</v>
      </c>
      <c r="U512">
        <v>17.72</v>
      </c>
      <c r="V512">
        <v>19.167000000000002</v>
      </c>
      <c r="W512">
        <v>18.04</v>
      </c>
      <c r="X512">
        <v>17.715</v>
      </c>
      <c r="Y512">
        <v>17.992000000000001</v>
      </c>
      <c r="Z512">
        <v>17.035</v>
      </c>
      <c r="AA512">
        <v>16.364999999999998</v>
      </c>
      <c r="AB512">
        <v>15.744999999999999</v>
      </c>
      <c r="AC512">
        <v>16.277999999999999</v>
      </c>
      <c r="AD512">
        <v>17.106000000000002</v>
      </c>
      <c r="AE512">
        <v>18.466999999999999</v>
      </c>
      <c r="AF512">
        <v>18.315000000000001</v>
      </c>
      <c r="AG512">
        <v>20.183</v>
      </c>
      <c r="AH512">
        <v>20.986000000000001</v>
      </c>
      <c r="AI512">
        <v>23.15</v>
      </c>
      <c r="AJ512">
        <v>20.704999999999998</v>
      </c>
      <c r="AK512">
        <v>19.513000000000002</v>
      </c>
      <c r="AL512">
        <v>19.721</v>
      </c>
      <c r="AM512">
        <v>19.966000000000001</v>
      </c>
      <c r="AN512">
        <v>21.257999999999999</v>
      </c>
      <c r="AO512">
        <v>20.835999999999999</v>
      </c>
      <c r="AP512">
        <v>20.706</v>
      </c>
      <c r="AQ512">
        <v>19.408999999999999</v>
      </c>
      <c r="AR512">
        <v>19.074000000000002</v>
      </c>
      <c r="AS512">
        <v>19.047000000000001</v>
      </c>
      <c r="AT512">
        <v>19.12</v>
      </c>
      <c r="AU512">
        <v>19.268999999999998</v>
      </c>
      <c r="AV512">
        <v>19.420999999999999</v>
      </c>
      <c r="AW512">
        <v>19.579999999999998</v>
      </c>
    </row>
    <row r="513" spans="1:49" x14ac:dyDescent="0.35">
      <c r="A513" t="s">
        <v>11</v>
      </c>
      <c r="B513" t="s">
        <v>71</v>
      </c>
      <c r="C513" t="s">
        <v>72</v>
      </c>
      <c r="D513" t="s">
        <v>70</v>
      </c>
      <c r="F513" t="s">
        <v>199</v>
      </c>
      <c r="G513">
        <v>35.317999999999998</v>
      </c>
      <c r="H513">
        <v>28.097000000000001</v>
      </c>
      <c r="I513">
        <v>22.164999999999999</v>
      </c>
      <c r="J513">
        <v>26.710999999999999</v>
      </c>
      <c r="K513">
        <v>23.120999999999999</v>
      </c>
      <c r="L513">
        <v>25.977</v>
      </c>
      <c r="M513">
        <v>25.128</v>
      </c>
      <c r="N513">
        <v>23.547999999999998</v>
      </c>
      <c r="O513">
        <v>23.923999999999999</v>
      </c>
      <c r="P513">
        <v>24.274000000000001</v>
      </c>
      <c r="Q513">
        <v>20.75</v>
      </c>
      <c r="R513">
        <v>20.167000000000002</v>
      </c>
      <c r="S513">
        <v>18.228000000000002</v>
      </c>
      <c r="T513">
        <v>17.23</v>
      </c>
      <c r="U513">
        <v>17.731000000000002</v>
      </c>
      <c r="V513">
        <v>17.562999999999999</v>
      </c>
      <c r="W513">
        <v>16.919</v>
      </c>
      <c r="X513">
        <v>16.260000000000002</v>
      </c>
      <c r="Y513">
        <v>16.271999999999998</v>
      </c>
      <c r="Z513">
        <v>16.536999999999999</v>
      </c>
      <c r="AA513">
        <v>16.239000000000001</v>
      </c>
      <c r="AB513">
        <v>16.018999999999998</v>
      </c>
      <c r="AC513">
        <v>17.18</v>
      </c>
      <c r="AD513">
        <v>16.28</v>
      </c>
      <c r="AE513">
        <v>15.701000000000001</v>
      </c>
      <c r="AF513">
        <v>15.186</v>
      </c>
      <c r="AG513">
        <v>15.706</v>
      </c>
      <c r="AH513">
        <v>15.602</v>
      </c>
      <c r="AI513">
        <v>17.613</v>
      </c>
      <c r="AJ513">
        <v>17.977</v>
      </c>
      <c r="AK513">
        <v>18.012</v>
      </c>
      <c r="AL513">
        <v>17.503</v>
      </c>
      <c r="AM513">
        <v>14.835000000000001</v>
      </c>
      <c r="AN513">
        <v>15.378</v>
      </c>
      <c r="AO513">
        <v>15.525</v>
      </c>
      <c r="AP513">
        <v>16.312999999999999</v>
      </c>
      <c r="AQ513">
        <v>16.145</v>
      </c>
      <c r="AR513">
        <v>16.222999999999999</v>
      </c>
      <c r="AS513">
        <v>15.79</v>
      </c>
      <c r="AT513">
        <v>15.51</v>
      </c>
      <c r="AU513">
        <v>15.537000000000001</v>
      </c>
      <c r="AV513">
        <v>15.670999999999999</v>
      </c>
      <c r="AW513">
        <v>15.803000000000001</v>
      </c>
    </row>
    <row r="514" spans="1:49" x14ac:dyDescent="0.35">
      <c r="A514" t="s">
        <v>11</v>
      </c>
      <c r="B514" t="s">
        <v>73</v>
      </c>
      <c r="C514" t="s">
        <v>74</v>
      </c>
      <c r="D514" t="s">
        <v>47</v>
      </c>
      <c r="F514" t="s">
        <v>200</v>
      </c>
      <c r="G514">
        <v>4.3079999999999998</v>
      </c>
      <c r="H514">
        <v>4.9669999999999996</v>
      </c>
      <c r="I514">
        <v>5.6829999999999998</v>
      </c>
      <c r="J514">
        <v>6.3920000000000003</v>
      </c>
      <c r="K514">
        <v>7.117</v>
      </c>
      <c r="L514">
        <v>8.2829999999999995</v>
      </c>
      <c r="M514">
        <v>9.8079999999999998</v>
      </c>
      <c r="N514">
        <v>11.4</v>
      </c>
      <c r="O514">
        <v>12.875</v>
      </c>
      <c r="P514">
        <v>14.775</v>
      </c>
      <c r="Q514">
        <v>16.875</v>
      </c>
      <c r="R514">
        <v>19.442</v>
      </c>
      <c r="S514">
        <v>22.175000000000001</v>
      </c>
      <c r="T514">
        <v>24.317</v>
      </c>
      <c r="U514">
        <v>26.466999999999999</v>
      </c>
      <c r="V514">
        <v>28.783000000000001</v>
      </c>
      <c r="W514">
        <v>30.9</v>
      </c>
      <c r="X514">
        <v>33.567</v>
      </c>
      <c r="Y514">
        <v>35.908000000000001</v>
      </c>
      <c r="Z514">
        <v>37.732999999999997</v>
      </c>
      <c r="AA514">
        <v>39.767000000000003</v>
      </c>
      <c r="AB514">
        <v>42.008000000000003</v>
      </c>
      <c r="AC514">
        <v>45.85</v>
      </c>
      <c r="AD514">
        <v>48.542000000000002</v>
      </c>
      <c r="AE514">
        <v>49.232999999999997</v>
      </c>
      <c r="AF514">
        <v>50.883000000000003</v>
      </c>
      <c r="AG514">
        <v>53.232999999999997</v>
      </c>
      <c r="AH514">
        <v>57.042000000000002</v>
      </c>
      <c r="AI514">
        <v>63.308</v>
      </c>
      <c r="AJ514">
        <v>67.816999999999993</v>
      </c>
      <c r="AK514">
        <v>70.707999999999998</v>
      </c>
      <c r="AL514">
        <v>74.233000000000004</v>
      </c>
      <c r="AM514">
        <v>78.408000000000001</v>
      </c>
      <c r="AN514">
        <v>82.924999999999997</v>
      </c>
      <c r="AO514">
        <v>87.974999999999994</v>
      </c>
      <c r="AP514">
        <v>92</v>
      </c>
      <c r="AQ514">
        <v>97.832999999999998</v>
      </c>
      <c r="AR514">
        <v>103.142</v>
      </c>
      <c r="AS514">
        <v>108.63500000000001</v>
      </c>
      <c r="AT514">
        <v>114.61</v>
      </c>
      <c r="AU514">
        <v>120.913</v>
      </c>
      <c r="AV514">
        <v>127.56399999999999</v>
      </c>
      <c r="AW514">
        <v>134.58000000000001</v>
      </c>
    </row>
    <row r="515" spans="1:49" x14ac:dyDescent="0.35">
      <c r="A515" t="s">
        <v>11</v>
      </c>
      <c r="B515" t="s">
        <v>73</v>
      </c>
      <c r="C515" t="s">
        <v>76</v>
      </c>
      <c r="D515" t="s">
        <v>35</v>
      </c>
      <c r="F515" t="s">
        <v>77</v>
      </c>
      <c r="G515">
        <v>14.236000000000001</v>
      </c>
      <c r="H515">
        <v>15.28</v>
      </c>
      <c r="I515">
        <v>14.43</v>
      </c>
      <c r="J515">
        <v>12.462999999999999</v>
      </c>
      <c r="K515">
        <v>11.343</v>
      </c>
      <c r="L515">
        <v>16.393000000000001</v>
      </c>
      <c r="M515">
        <v>18.41</v>
      </c>
      <c r="N515">
        <v>16.228000000000002</v>
      </c>
      <c r="O515">
        <v>12.939</v>
      </c>
      <c r="P515">
        <v>14.757</v>
      </c>
      <c r="Q515">
        <v>14.212999999999999</v>
      </c>
      <c r="R515">
        <v>15.21</v>
      </c>
      <c r="S515">
        <v>14.058999999999999</v>
      </c>
      <c r="T515">
        <v>9.6579999999999995</v>
      </c>
      <c r="U515">
        <v>8.8420000000000005</v>
      </c>
      <c r="V515">
        <v>8.7530000000000001</v>
      </c>
      <c r="W515">
        <v>7.3540000000000001</v>
      </c>
      <c r="X515">
        <v>8.6300000000000008</v>
      </c>
      <c r="Y515">
        <v>6.976</v>
      </c>
      <c r="Z515">
        <v>5.0819999999999999</v>
      </c>
      <c r="AA515">
        <v>5.3890000000000002</v>
      </c>
      <c r="AB515">
        <v>5.6369999999999996</v>
      </c>
      <c r="AC515">
        <v>9.1449999999999996</v>
      </c>
      <c r="AD515">
        <v>5.8710000000000004</v>
      </c>
      <c r="AE515">
        <v>1.425</v>
      </c>
      <c r="AF515">
        <v>3.351</v>
      </c>
      <c r="AG515">
        <v>4.6180000000000003</v>
      </c>
      <c r="AH515">
        <v>7.1539999999999999</v>
      </c>
      <c r="AI515">
        <v>10.986000000000001</v>
      </c>
      <c r="AJ515">
        <v>7.1210000000000004</v>
      </c>
      <c r="AK515">
        <v>4.2640000000000002</v>
      </c>
      <c r="AL515">
        <v>4.9850000000000003</v>
      </c>
      <c r="AM515">
        <v>5.6239999999999997</v>
      </c>
      <c r="AN515">
        <v>5.76</v>
      </c>
      <c r="AO515">
        <v>6.09</v>
      </c>
      <c r="AP515">
        <v>4.5750000000000002</v>
      </c>
      <c r="AQ515">
        <v>6.3410000000000002</v>
      </c>
      <c r="AR515">
        <v>5.4260000000000002</v>
      </c>
      <c r="AS515">
        <v>5.3259999999999996</v>
      </c>
      <c r="AT515">
        <v>5.5</v>
      </c>
      <c r="AU515">
        <v>5.5</v>
      </c>
      <c r="AV515">
        <v>5.5</v>
      </c>
      <c r="AW515">
        <v>5.5</v>
      </c>
    </row>
    <row r="516" spans="1:49" x14ac:dyDescent="0.35">
      <c r="A516" t="s">
        <v>11</v>
      </c>
      <c r="B516" t="s">
        <v>78</v>
      </c>
      <c r="C516" t="s">
        <v>79</v>
      </c>
      <c r="D516" t="s">
        <v>47</v>
      </c>
      <c r="F516" t="s">
        <v>200</v>
      </c>
      <c r="G516">
        <v>4.7</v>
      </c>
      <c r="H516">
        <v>5.3</v>
      </c>
      <c r="I516">
        <v>6</v>
      </c>
      <c r="J516">
        <v>6.7</v>
      </c>
      <c r="K516">
        <v>7.5</v>
      </c>
      <c r="L516">
        <v>8.9</v>
      </c>
      <c r="M516">
        <v>10.5</v>
      </c>
      <c r="N516">
        <v>12.1</v>
      </c>
      <c r="O516">
        <v>13.6</v>
      </c>
      <c r="P516">
        <v>15.7</v>
      </c>
      <c r="Q516">
        <v>18</v>
      </c>
      <c r="R516">
        <v>20.9</v>
      </c>
      <c r="S516">
        <v>22.9</v>
      </c>
      <c r="T516">
        <v>25.1</v>
      </c>
      <c r="U516">
        <v>27.5</v>
      </c>
      <c r="V516">
        <v>29.4</v>
      </c>
      <c r="W516">
        <v>32.200000000000003</v>
      </c>
      <c r="X516">
        <v>34.200000000000003</v>
      </c>
      <c r="Y516">
        <v>37.299999999999997</v>
      </c>
      <c r="Z516">
        <v>38.1</v>
      </c>
      <c r="AA516">
        <v>40.700000000000003</v>
      </c>
      <c r="AB516">
        <v>42.6</v>
      </c>
      <c r="AC516">
        <v>47.9</v>
      </c>
      <c r="AD516">
        <v>48</v>
      </c>
      <c r="AE516">
        <v>49.7</v>
      </c>
      <c r="AF516">
        <v>51.5</v>
      </c>
      <c r="AG516">
        <v>54.5</v>
      </c>
      <c r="AH516">
        <v>59.3</v>
      </c>
      <c r="AI516">
        <v>65.269000000000005</v>
      </c>
      <c r="AJ516">
        <v>69.385999999999996</v>
      </c>
      <c r="AK516">
        <v>71.796000000000006</v>
      </c>
      <c r="AL516">
        <v>76.213999999999999</v>
      </c>
      <c r="AM516">
        <v>80.531999999999996</v>
      </c>
      <c r="AN516">
        <v>84.85</v>
      </c>
      <c r="AO516">
        <v>89.369</v>
      </c>
      <c r="AP516">
        <v>94.087999999999994</v>
      </c>
      <c r="AQ516">
        <v>100.414</v>
      </c>
      <c r="AR516">
        <v>105.636</v>
      </c>
      <c r="AS516">
        <v>111.34</v>
      </c>
      <c r="AT516">
        <v>117.464</v>
      </c>
      <c r="AU516">
        <v>123.92400000000001</v>
      </c>
      <c r="AV516">
        <v>130.74</v>
      </c>
      <c r="AW516">
        <v>137.93100000000001</v>
      </c>
    </row>
    <row r="517" spans="1:49" x14ac:dyDescent="0.35">
      <c r="A517" t="s">
        <v>11</v>
      </c>
      <c r="B517" t="s">
        <v>78</v>
      </c>
      <c r="C517" t="s">
        <v>80</v>
      </c>
      <c r="D517" t="s">
        <v>35</v>
      </c>
      <c r="F517" t="s">
        <v>81</v>
      </c>
      <c r="G517" t="s">
        <v>82</v>
      </c>
      <c r="H517">
        <v>12.766</v>
      </c>
      <c r="I517">
        <v>13.208</v>
      </c>
      <c r="J517">
        <v>11.667</v>
      </c>
      <c r="K517">
        <v>11.94</v>
      </c>
      <c r="L517">
        <v>18.667000000000002</v>
      </c>
      <c r="M517">
        <v>17.978000000000002</v>
      </c>
      <c r="N517">
        <v>15.238</v>
      </c>
      <c r="O517">
        <v>12.397</v>
      </c>
      <c r="P517">
        <v>15.441000000000001</v>
      </c>
      <c r="Q517">
        <v>14.65</v>
      </c>
      <c r="R517">
        <v>16.111000000000001</v>
      </c>
      <c r="S517">
        <v>9.5690000000000008</v>
      </c>
      <c r="T517">
        <v>9.6069999999999993</v>
      </c>
      <c r="U517">
        <v>9.5619999999999994</v>
      </c>
      <c r="V517">
        <v>6.9089999999999998</v>
      </c>
      <c r="W517">
        <v>9.5239999999999991</v>
      </c>
      <c r="X517">
        <v>6.2110000000000003</v>
      </c>
      <c r="Y517">
        <v>9.0640000000000001</v>
      </c>
      <c r="Z517">
        <v>2.145</v>
      </c>
      <c r="AA517">
        <v>6.8239999999999998</v>
      </c>
      <c r="AB517">
        <v>4.6680000000000001</v>
      </c>
      <c r="AC517">
        <v>12.441000000000001</v>
      </c>
      <c r="AD517">
        <v>0.20899999999999999</v>
      </c>
      <c r="AE517">
        <v>3.5419999999999998</v>
      </c>
      <c r="AF517">
        <v>3.6219999999999999</v>
      </c>
      <c r="AG517">
        <v>5.8250000000000002</v>
      </c>
      <c r="AH517">
        <v>8.8070000000000004</v>
      </c>
      <c r="AI517">
        <v>10.066000000000001</v>
      </c>
      <c r="AJ517">
        <v>6.3079999999999998</v>
      </c>
      <c r="AK517">
        <v>3.4729999999999999</v>
      </c>
      <c r="AL517">
        <v>6.1539999999999999</v>
      </c>
      <c r="AM517">
        <v>5.665</v>
      </c>
      <c r="AN517">
        <v>5.3620000000000001</v>
      </c>
      <c r="AO517">
        <v>5.3250000000000002</v>
      </c>
      <c r="AP517">
        <v>5.2809999999999997</v>
      </c>
      <c r="AQ517">
        <v>6.7240000000000002</v>
      </c>
      <c r="AR517">
        <v>5.2</v>
      </c>
      <c r="AS517">
        <v>5.4</v>
      </c>
      <c r="AT517">
        <v>5.5</v>
      </c>
      <c r="AU517">
        <v>5.5</v>
      </c>
      <c r="AV517">
        <v>5.5</v>
      </c>
      <c r="AW517">
        <v>5.5</v>
      </c>
    </row>
    <row r="518" spans="1:49" x14ac:dyDescent="0.35">
      <c r="A518" t="s">
        <v>11</v>
      </c>
      <c r="B518" t="s">
        <v>83</v>
      </c>
      <c r="D518" t="s">
        <v>64</v>
      </c>
    </row>
    <row r="519" spans="1:49" x14ac:dyDescent="0.35">
      <c r="A519" t="s">
        <v>11</v>
      </c>
      <c r="B519" t="s">
        <v>84</v>
      </c>
      <c r="C519" t="s">
        <v>85</v>
      </c>
      <c r="D519" t="s">
        <v>35</v>
      </c>
      <c r="F519" t="s">
        <v>201</v>
      </c>
      <c r="G519">
        <v>18.774000000000001</v>
      </c>
      <c r="H519">
        <v>13.736000000000001</v>
      </c>
      <c r="I519">
        <v>-17.367000000000001</v>
      </c>
      <c r="J519">
        <v>-16.091999999999999</v>
      </c>
      <c r="K519">
        <v>19.798999999999999</v>
      </c>
      <c r="L519">
        <v>-14.036</v>
      </c>
      <c r="M519">
        <v>-2.452</v>
      </c>
      <c r="N519">
        <v>3.4940000000000002</v>
      </c>
      <c r="O519">
        <v>21.91</v>
      </c>
      <c r="P519">
        <v>0.317</v>
      </c>
      <c r="Q519">
        <v>-5.8369999999999997</v>
      </c>
      <c r="R519">
        <v>2.1429999999999998</v>
      </c>
      <c r="S519">
        <v>5.3470000000000004</v>
      </c>
      <c r="T519">
        <v>7.0179999999999998</v>
      </c>
      <c r="U519">
        <v>16.093</v>
      </c>
      <c r="V519">
        <v>16.79</v>
      </c>
      <c r="W519">
        <v>8.7110000000000003</v>
      </c>
      <c r="X519">
        <v>5.3849999999999998</v>
      </c>
      <c r="Y519">
        <v>2.0139999999999998</v>
      </c>
      <c r="Z519">
        <v>-8.3620000000000001</v>
      </c>
      <c r="AA519">
        <v>5.3380000000000001</v>
      </c>
      <c r="AB519">
        <v>0.25</v>
      </c>
      <c r="AC519">
        <v>5.3410000000000002</v>
      </c>
      <c r="AD519">
        <v>8.0839999999999996</v>
      </c>
      <c r="AE519">
        <v>15.509</v>
      </c>
      <c r="AF519">
        <v>10.879</v>
      </c>
      <c r="AG519">
        <v>18.260999999999999</v>
      </c>
      <c r="AH519">
        <v>9.3659999999999997</v>
      </c>
      <c r="AI519">
        <v>2.8090000000000002</v>
      </c>
      <c r="AJ519">
        <v>-17.66</v>
      </c>
      <c r="AK519">
        <v>10.794</v>
      </c>
      <c r="AL519">
        <v>11.912000000000001</v>
      </c>
      <c r="AM519">
        <v>4.22</v>
      </c>
      <c r="AN519">
        <v>5.0140000000000002</v>
      </c>
      <c r="AO519">
        <v>-0.51400000000000001</v>
      </c>
      <c r="AP519">
        <v>5.367</v>
      </c>
      <c r="AQ519">
        <v>-3.6549999999999998</v>
      </c>
      <c r="AR519">
        <v>0.77500000000000002</v>
      </c>
      <c r="AS519">
        <v>2.58</v>
      </c>
      <c r="AT519">
        <v>3.1930000000000001</v>
      </c>
      <c r="AU519">
        <v>3.1240000000000001</v>
      </c>
      <c r="AV519">
        <v>3.1240000000000001</v>
      </c>
      <c r="AW519">
        <v>3.1240000000000001</v>
      </c>
    </row>
    <row r="520" spans="1:49" x14ac:dyDescent="0.35">
      <c r="A520" t="s">
        <v>11</v>
      </c>
      <c r="B520" t="s">
        <v>87</v>
      </c>
      <c r="C520" t="s">
        <v>88</v>
      </c>
      <c r="D520" t="s">
        <v>35</v>
      </c>
      <c r="F520" t="s">
        <v>201</v>
      </c>
      <c r="G520">
        <v>21.616</v>
      </c>
      <c r="H520">
        <v>14.215999999999999</v>
      </c>
      <c r="I520">
        <v>-17.847999999999999</v>
      </c>
      <c r="J520">
        <v>-18.681000000000001</v>
      </c>
      <c r="K520">
        <v>21.472999999999999</v>
      </c>
      <c r="L520">
        <v>-14.699</v>
      </c>
      <c r="M520">
        <v>-5.3239999999999998</v>
      </c>
      <c r="N520">
        <v>3.9609999999999999</v>
      </c>
      <c r="O520">
        <v>23.943000000000001</v>
      </c>
      <c r="P520">
        <v>-1.54</v>
      </c>
      <c r="Q520">
        <v>-4.2649999999999997</v>
      </c>
      <c r="R520">
        <v>0.38</v>
      </c>
      <c r="S520">
        <v>5.5389999999999997</v>
      </c>
      <c r="T520">
        <v>6.6950000000000003</v>
      </c>
      <c r="U520">
        <v>18.917999999999999</v>
      </c>
      <c r="V520">
        <v>19.675999999999998</v>
      </c>
      <c r="W520">
        <v>11.852</v>
      </c>
      <c r="X520">
        <v>6.7320000000000002</v>
      </c>
      <c r="Y520">
        <v>1.2230000000000001</v>
      </c>
      <c r="Z520">
        <v>-9.2889999999999997</v>
      </c>
      <c r="AA520">
        <v>7.7329999999999997</v>
      </c>
      <c r="AB520">
        <v>0.155</v>
      </c>
      <c r="AC520">
        <v>5.6139999999999999</v>
      </c>
      <c r="AD520">
        <v>4.649</v>
      </c>
      <c r="AE520">
        <v>17.895</v>
      </c>
      <c r="AF520">
        <v>11.776</v>
      </c>
      <c r="AG520">
        <v>19.888000000000002</v>
      </c>
      <c r="AH520">
        <v>10.045999999999999</v>
      </c>
      <c r="AI520">
        <v>4.0789999999999997</v>
      </c>
      <c r="AJ520">
        <v>-21.393999999999998</v>
      </c>
      <c r="AK520">
        <v>9.7430000000000003</v>
      </c>
      <c r="AL520">
        <v>14.407999999999999</v>
      </c>
      <c r="AM520">
        <v>6.4370000000000003</v>
      </c>
      <c r="AN520">
        <v>6.194</v>
      </c>
      <c r="AO520">
        <v>1.4E-2</v>
      </c>
      <c r="AP520">
        <v>5.4539999999999997</v>
      </c>
      <c r="AQ520">
        <v>-3.9820000000000002</v>
      </c>
      <c r="AR520">
        <v>0.77500000000000002</v>
      </c>
      <c r="AS520">
        <v>2.58</v>
      </c>
      <c r="AT520">
        <v>3.1930000000000001</v>
      </c>
      <c r="AU520">
        <v>3.1240000000000001</v>
      </c>
      <c r="AV520">
        <v>3.1240000000000001</v>
      </c>
      <c r="AW520">
        <v>3.1240000000000001</v>
      </c>
    </row>
    <row r="521" spans="1:49" x14ac:dyDescent="0.35">
      <c r="A521" t="s">
        <v>11</v>
      </c>
      <c r="B521" t="s">
        <v>89</v>
      </c>
      <c r="C521" t="s">
        <v>90</v>
      </c>
      <c r="D521" t="s">
        <v>35</v>
      </c>
      <c r="F521" t="s">
        <v>201</v>
      </c>
      <c r="G521">
        <v>0.221</v>
      </c>
      <c r="H521">
        <v>-5.3529999999999998</v>
      </c>
      <c r="I521">
        <v>-2.645</v>
      </c>
      <c r="J521">
        <v>-1.3280000000000001</v>
      </c>
      <c r="K521">
        <v>2.6659999999999999</v>
      </c>
      <c r="L521">
        <v>10.077</v>
      </c>
      <c r="M521">
        <v>-3.6909999999999998</v>
      </c>
      <c r="N521">
        <v>4.649</v>
      </c>
      <c r="O521">
        <v>8.17</v>
      </c>
      <c r="P521">
        <v>2.1819999999999999</v>
      </c>
      <c r="Q521">
        <v>-0.434</v>
      </c>
      <c r="R521">
        <v>-1.546</v>
      </c>
      <c r="S521">
        <v>5.4909999999999997</v>
      </c>
      <c r="T521">
        <v>10.379</v>
      </c>
      <c r="U521">
        <v>2.4849999999999999</v>
      </c>
      <c r="V521">
        <v>10.938000000000001</v>
      </c>
      <c r="W521">
        <v>7.2039999999999997</v>
      </c>
      <c r="X521">
        <v>5.2949999999999999</v>
      </c>
      <c r="Y521">
        <v>3.246</v>
      </c>
      <c r="Z521">
        <v>1.2609999999999999</v>
      </c>
      <c r="AA521">
        <v>8.3130000000000006</v>
      </c>
      <c r="AB521">
        <v>2.3929999999999998</v>
      </c>
      <c r="AC521">
        <v>0.98899999999999999</v>
      </c>
      <c r="AD521">
        <v>0.11</v>
      </c>
      <c r="AE521">
        <v>2.8330000000000002</v>
      </c>
      <c r="AF521">
        <v>8.5679999999999996</v>
      </c>
      <c r="AG521">
        <v>7.4630000000000001</v>
      </c>
      <c r="AH521">
        <v>7.8280000000000003</v>
      </c>
      <c r="AI521">
        <v>1.55</v>
      </c>
      <c r="AJ521">
        <v>-17.024000000000001</v>
      </c>
      <c r="AK521">
        <v>7.718</v>
      </c>
      <c r="AL521">
        <v>3.496</v>
      </c>
      <c r="AM521">
        <v>0.79400000000000004</v>
      </c>
      <c r="AN521">
        <v>3.633</v>
      </c>
      <c r="AO521">
        <v>3.2240000000000002</v>
      </c>
      <c r="AP521">
        <v>3.8580000000000001</v>
      </c>
      <c r="AQ521">
        <v>-5.1999999999999998E-2</v>
      </c>
      <c r="AR521">
        <v>1.915</v>
      </c>
      <c r="AS521">
        <v>2.33</v>
      </c>
      <c r="AT521">
        <v>3.1</v>
      </c>
      <c r="AU521">
        <v>3.1949999999999998</v>
      </c>
      <c r="AV521">
        <v>3.3849999999999998</v>
      </c>
      <c r="AW521">
        <v>3.3849999999999998</v>
      </c>
    </row>
    <row r="522" spans="1:49" x14ac:dyDescent="0.35">
      <c r="A522" t="s">
        <v>11</v>
      </c>
      <c r="B522" t="s">
        <v>91</v>
      </c>
      <c r="C522" t="s">
        <v>92</v>
      </c>
      <c r="D522" t="s">
        <v>35</v>
      </c>
      <c r="F522" t="s">
        <v>201</v>
      </c>
      <c r="G522">
        <v>0.624</v>
      </c>
      <c r="H522">
        <v>-4.1859999999999999</v>
      </c>
      <c r="I522">
        <v>-2.6120000000000001</v>
      </c>
      <c r="J522">
        <v>-0.182</v>
      </c>
      <c r="K522">
        <v>1.754</v>
      </c>
      <c r="L522">
        <v>10.795999999999999</v>
      </c>
      <c r="M522">
        <v>-3.2330000000000001</v>
      </c>
      <c r="N522">
        <v>5.7309999999999999</v>
      </c>
      <c r="O522">
        <v>8.798</v>
      </c>
      <c r="P522">
        <v>3.9E-2</v>
      </c>
      <c r="Q522">
        <v>-0.72</v>
      </c>
      <c r="R522">
        <v>0.30499999999999999</v>
      </c>
      <c r="S522">
        <v>6.4539999999999997</v>
      </c>
      <c r="T522">
        <v>11.041</v>
      </c>
      <c r="U522">
        <v>1.1919999999999999</v>
      </c>
      <c r="V522">
        <v>10.52</v>
      </c>
      <c r="W522">
        <v>5.3719999999999999</v>
      </c>
      <c r="X522">
        <v>5.1509999999999998</v>
      </c>
      <c r="Y522">
        <v>1.98</v>
      </c>
      <c r="Z522">
        <v>1.385</v>
      </c>
      <c r="AA522">
        <v>8.9469999999999992</v>
      </c>
      <c r="AB522">
        <v>0.81499999999999995</v>
      </c>
      <c r="AC522">
        <v>-0.80900000000000005</v>
      </c>
      <c r="AD522">
        <v>-1.7609999999999999</v>
      </c>
      <c r="AE522">
        <v>4.1580000000000004</v>
      </c>
      <c r="AF522">
        <v>8.8019999999999996</v>
      </c>
      <c r="AG522">
        <v>6.9859999999999998</v>
      </c>
      <c r="AH522">
        <v>7.4589999999999996</v>
      </c>
      <c r="AI522">
        <v>2.036</v>
      </c>
      <c r="AJ522">
        <v>-18.516999999999999</v>
      </c>
      <c r="AK522">
        <v>8.702</v>
      </c>
      <c r="AL522">
        <v>4.0250000000000004</v>
      </c>
      <c r="AM522">
        <v>-0.25600000000000001</v>
      </c>
      <c r="AN522">
        <v>3.7450000000000001</v>
      </c>
      <c r="AO522">
        <v>2.7879999999999998</v>
      </c>
      <c r="AP522">
        <v>4.6379999999999999</v>
      </c>
      <c r="AQ522">
        <v>-0.61499999999999999</v>
      </c>
      <c r="AR522">
        <v>1.915</v>
      </c>
      <c r="AS522">
        <v>2.33</v>
      </c>
      <c r="AT522">
        <v>3.1</v>
      </c>
      <c r="AU522">
        <v>3.1949999999999998</v>
      </c>
      <c r="AV522">
        <v>3.3849999999999998</v>
      </c>
      <c r="AW522">
        <v>3.3849999999999998</v>
      </c>
    </row>
    <row r="523" spans="1:49" x14ac:dyDescent="0.35">
      <c r="A523" t="s">
        <v>11</v>
      </c>
      <c r="B523" t="s">
        <v>93</v>
      </c>
      <c r="C523" t="s">
        <v>94</v>
      </c>
      <c r="D523" t="s">
        <v>95</v>
      </c>
      <c r="F523" t="s">
        <v>202</v>
      </c>
      <c r="G523">
        <v>9.2409999999999997</v>
      </c>
      <c r="H523">
        <v>9.8239999999999998</v>
      </c>
      <c r="I523">
        <v>10.755000000000001</v>
      </c>
      <c r="J523">
        <v>12.542999999999999</v>
      </c>
      <c r="K523">
        <v>13.718</v>
      </c>
      <c r="L523">
        <v>15.452</v>
      </c>
      <c r="M523">
        <v>16.048999999999999</v>
      </c>
      <c r="N523">
        <v>16.591999999999999</v>
      </c>
      <c r="O523">
        <v>17.238</v>
      </c>
      <c r="P523">
        <v>17.829000000000001</v>
      </c>
      <c r="Q523">
        <v>18.783999999999999</v>
      </c>
      <c r="R523">
        <v>20.161999999999999</v>
      </c>
      <c r="S523">
        <v>21.213000000000001</v>
      </c>
      <c r="T523">
        <v>22.163</v>
      </c>
      <c r="U523">
        <v>22.89</v>
      </c>
      <c r="V523">
        <v>16.5</v>
      </c>
      <c r="W523">
        <v>20.3</v>
      </c>
      <c r="X523">
        <v>22</v>
      </c>
      <c r="Y523">
        <v>26.1</v>
      </c>
      <c r="Z523">
        <v>23.3</v>
      </c>
      <c r="AA523">
        <v>23</v>
      </c>
      <c r="AB523">
        <v>25.95</v>
      </c>
      <c r="AC523">
        <v>27.8</v>
      </c>
      <c r="AD523">
        <v>27.65</v>
      </c>
      <c r="AE523">
        <v>25.15</v>
      </c>
      <c r="AF523">
        <v>24.65</v>
      </c>
      <c r="AG523">
        <v>23.55</v>
      </c>
      <c r="AH523">
        <v>23</v>
      </c>
      <c r="AI523">
        <v>22.524999999999999</v>
      </c>
      <c r="AJ523">
        <v>23.7</v>
      </c>
      <c r="AK523">
        <v>24.875</v>
      </c>
      <c r="AL523">
        <v>24.8</v>
      </c>
      <c r="AM523">
        <v>24.875</v>
      </c>
      <c r="AN523">
        <v>24.725000000000001</v>
      </c>
      <c r="AO523">
        <v>25.1</v>
      </c>
      <c r="AP523">
        <v>25.35</v>
      </c>
      <c r="AQ523">
        <v>26.725000000000001</v>
      </c>
      <c r="AR523">
        <v>27.6</v>
      </c>
      <c r="AS523">
        <v>28.3</v>
      </c>
      <c r="AT523">
        <v>28.5</v>
      </c>
      <c r="AU523">
        <v>28.6</v>
      </c>
      <c r="AV523">
        <v>28.599</v>
      </c>
      <c r="AW523">
        <v>28.588000000000001</v>
      </c>
    </row>
    <row r="524" spans="1:49" x14ac:dyDescent="0.35">
      <c r="A524" t="s">
        <v>11</v>
      </c>
      <c r="B524" t="s">
        <v>96</v>
      </c>
      <c r="C524" t="s">
        <v>97</v>
      </c>
      <c r="D524" t="s">
        <v>98</v>
      </c>
      <c r="E524" t="s">
        <v>99</v>
      </c>
    </row>
    <row r="525" spans="1:49" x14ac:dyDescent="0.35">
      <c r="A525" t="s">
        <v>11</v>
      </c>
      <c r="B525" t="s">
        <v>100</v>
      </c>
      <c r="C525" t="s">
        <v>101</v>
      </c>
      <c r="D525" t="s">
        <v>98</v>
      </c>
      <c r="E525" t="s">
        <v>99</v>
      </c>
      <c r="F525" t="s">
        <v>203</v>
      </c>
      <c r="G525">
        <v>29.08</v>
      </c>
      <c r="H525">
        <v>29.83</v>
      </c>
      <c r="I525">
        <v>30.61</v>
      </c>
      <c r="J525">
        <v>31.41</v>
      </c>
      <c r="K525">
        <v>32.21</v>
      </c>
      <c r="L525">
        <v>32.979999999999997</v>
      </c>
      <c r="M525">
        <v>33.729999999999997</v>
      </c>
      <c r="N525">
        <v>34.46</v>
      </c>
      <c r="O525">
        <v>35.200000000000003</v>
      </c>
      <c r="P525">
        <v>35.97</v>
      </c>
      <c r="Q525">
        <v>36.79</v>
      </c>
      <c r="R525">
        <v>37.69</v>
      </c>
      <c r="S525">
        <v>38.65</v>
      </c>
      <c r="T525">
        <v>39.619999999999997</v>
      </c>
      <c r="U525">
        <v>40.56</v>
      </c>
      <c r="V525">
        <v>41.43</v>
      </c>
      <c r="W525">
        <v>42.21</v>
      </c>
      <c r="X525">
        <v>42.92</v>
      </c>
      <c r="Y525">
        <v>43.58</v>
      </c>
      <c r="Z525">
        <v>44.23</v>
      </c>
      <c r="AA525">
        <v>44.9</v>
      </c>
      <c r="AB525">
        <v>45.58</v>
      </c>
      <c r="AC525">
        <v>45.920999999999999</v>
      </c>
      <c r="AD525">
        <v>46.460999999999999</v>
      </c>
      <c r="AE525">
        <v>47.021000000000001</v>
      </c>
      <c r="AF525">
        <v>47.601999999999997</v>
      </c>
      <c r="AG525">
        <v>48.204999999999998</v>
      </c>
      <c r="AH525">
        <v>48.83</v>
      </c>
      <c r="AI525">
        <v>49.478999999999999</v>
      </c>
      <c r="AJ525">
        <v>50.152000000000001</v>
      </c>
      <c r="AK525">
        <v>50.85</v>
      </c>
      <c r="AL525">
        <v>51.573999999999998</v>
      </c>
      <c r="AM525">
        <v>52.325000000000003</v>
      </c>
      <c r="AN525">
        <v>53.103999999999999</v>
      </c>
      <c r="AO525">
        <v>53.911999999999999</v>
      </c>
      <c r="AP525">
        <v>54.75</v>
      </c>
      <c r="AQ525">
        <v>55.62</v>
      </c>
      <c r="AR525">
        <v>56.503999999999998</v>
      </c>
      <c r="AS525">
        <v>57.402000000000001</v>
      </c>
      <c r="AT525">
        <v>58.314</v>
      </c>
      <c r="AU525">
        <v>59.24</v>
      </c>
      <c r="AV525">
        <v>60.182000000000002</v>
      </c>
      <c r="AW525">
        <v>61.137999999999998</v>
      </c>
    </row>
    <row r="526" spans="1:49" x14ac:dyDescent="0.35">
      <c r="A526" t="s">
        <v>11</v>
      </c>
      <c r="B526" t="s">
        <v>103</v>
      </c>
      <c r="C526" t="s">
        <v>104</v>
      </c>
      <c r="D526" t="s">
        <v>31</v>
      </c>
      <c r="E526" t="s">
        <v>32</v>
      </c>
      <c r="F526" t="s">
        <v>204</v>
      </c>
      <c r="G526" t="s">
        <v>82</v>
      </c>
      <c r="H526" t="s">
        <v>82</v>
      </c>
      <c r="I526" t="s">
        <v>82</v>
      </c>
      <c r="J526" t="s">
        <v>82</v>
      </c>
      <c r="K526" t="s">
        <v>82</v>
      </c>
      <c r="L526" t="s">
        <v>82</v>
      </c>
      <c r="M526" t="s">
        <v>82</v>
      </c>
      <c r="N526" t="s">
        <v>82</v>
      </c>
      <c r="O526" t="s">
        <v>82</v>
      </c>
      <c r="P526" t="s">
        <v>82</v>
      </c>
      <c r="Q526" t="s">
        <v>82</v>
      </c>
      <c r="R526" t="s">
        <v>82</v>
      </c>
      <c r="S526" t="s">
        <v>82</v>
      </c>
      <c r="T526" t="s">
        <v>82</v>
      </c>
      <c r="U526" t="s">
        <v>82</v>
      </c>
      <c r="V526" t="s">
        <v>82</v>
      </c>
      <c r="W526" t="s">
        <v>82</v>
      </c>
      <c r="X526" t="s">
        <v>82</v>
      </c>
      <c r="Y526" t="s">
        <v>82</v>
      </c>
      <c r="Z526" t="s">
        <v>82</v>
      </c>
      <c r="AA526">
        <v>223.93600000000001</v>
      </c>
      <c r="AB526">
        <v>251.898</v>
      </c>
      <c r="AC526">
        <v>289.21499999999997</v>
      </c>
      <c r="AD526">
        <v>313.44099999999997</v>
      </c>
      <c r="AE526">
        <v>357.97899999999998</v>
      </c>
      <c r="AF526">
        <v>453.90499999999997</v>
      </c>
      <c r="AG526">
        <v>519.995</v>
      </c>
      <c r="AH526">
        <v>600.10699999999997</v>
      </c>
      <c r="AI526">
        <v>663.26900000000001</v>
      </c>
      <c r="AJ526">
        <v>663.01700000000005</v>
      </c>
      <c r="AK526">
        <v>729.49199999999996</v>
      </c>
      <c r="AL526">
        <v>814.52499999999998</v>
      </c>
      <c r="AM526">
        <v>877.72400000000005</v>
      </c>
      <c r="AN526">
        <v>967.35</v>
      </c>
      <c r="AO526" s="27">
        <v>1052.53</v>
      </c>
      <c r="AP526" s="27">
        <v>1146.01</v>
      </c>
      <c r="AQ526" s="27">
        <v>1253.6400000000001</v>
      </c>
      <c r="AR526" s="27">
        <v>1340.96</v>
      </c>
      <c r="AS526" s="27">
        <v>1443.75</v>
      </c>
      <c r="AT526" s="27">
        <v>1561.84</v>
      </c>
      <c r="AU526" s="27">
        <v>1686.47</v>
      </c>
      <c r="AV526" s="27">
        <v>1820.48</v>
      </c>
      <c r="AW526" s="27">
        <v>1966.02</v>
      </c>
    </row>
    <row r="527" spans="1:49" x14ac:dyDescent="0.35">
      <c r="A527" t="s">
        <v>11</v>
      </c>
      <c r="B527" t="s">
        <v>103</v>
      </c>
      <c r="C527" t="s">
        <v>104</v>
      </c>
      <c r="D527" t="s">
        <v>70</v>
      </c>
      <c r="F527" t="s">
        <v>106</v>
      </c>
      <c r="G527" t="s">
        <v>82</v>
      </c>
      <c r="H527" t="s">
        <v>82</v>
      </c>
      <c r="I527" t="s">
        <v>82</v>
      </c>
      <c r="J527" t="s">
        <v>82</v>
      </c>
      <c r="K527" t="s">
        <v>82</v>
      </c>
      <c r="L527" t="s">
        <v>82</v>
      </c>
      <c r="M527" t="s">
        <v>82</v>
      </c>
      <c r="N527" t="s">
        <v>82</v>
      </c>
      <c r="O527" t="s">
        <v>82</v>
      </c>
      <c r="P527" t="s">
        <v>82</v>
      </c>
      <c r="Q527" t="s">
        <v>82</v>
      </c>
      <c r="R527" t="s">
        <v>82</v>
      </c>
      <c r="S527" t="s">
        <v>82</v>
      </c>
      <c r="T527" t="s">
        <v>82</v>
      </c>
      <c r="U527" t="s">
        <v>82</v>
      </c>
      <c r="V527" t="s">
        <v>82</v>
      </c>
      <c r="W527" t="s">
        <v>82</v>
      </c>
      <c r="X527" t="s">
        <v>82</v>
      </c>
      <c r="Y527" t="s">
        <v>82</v>
      </c>
      <c r="Z527" t="s">
        <v>82</v>
      </c>
      <c r="AA527">
        <v>23.664000000000001</v>
      </c>
      <c r="AB527">
        <v>24.079000000000001</v>
      </c>
      <c r="AC527">
        <v>23.759</v>
      </c>
      <c r="AD527">
        <v>23.641999999999999</v>
      </c>
      <c r="AE527">
        <v>24.242999999999999</v>
      </c>
      <c r="AF527">
        <v>27.69</v>
      </c>
      <c r="AG527">
        <v>28.27</v>
      </c>
      <c r="AH527">
        <v>28.448</v>
      </c>
      <c r="AI527">
        <v>27.997</v>
      </c>
      <c r="AJ527">
        <v>26.44</v>
      </c>
      <c r="AK527">
        <v>26.545999999999999</v>
      </c>
      <c r="AL527">
        <v>26.937999999999999</v>
      </c>
      <c r="AM527">
        <v>26.975000000000001</v>
      </c>
      <c r="AN527">
        <v>27.327999999999999</v>
      </c>
      <c r="AO527">
        <v>27.641999999999999</v>
      </c>
      <c r="AP527">
        <v>28.297999999999998</v>
      </c>
      <c r="AQ527">
        <v>28.893000000000001</v>
      </c>
      <c r="AR527">
        <v>29.085000000000001</v>
      </c>
      <c r="AS527">
        <v>29.393999999999998</v>
      </c>
      <c r="AT527">
        <v>29.643000000000001</v>
      </c>
      <c r="AU527">
        <v>29.658999999999999</v>
      </c>
      <c r="AV527">
        <v>29.666</v>
      </c>
      <c r="AW527">
        <v>29.686</v>
      </c>
    </row>
    <row r="528" spans="1:49" x14ac:dyDescent="0.35">
      <c r="A528" t="s">
        <v>11</v>
      </c>
      <c r="B528" t="s">
        <v>107</v>
      </c>
      <c r="C528" t="s">
        <v>108</v>
      </c>
      <c r="D528" t="s">
        <v>31</v>
      </c>
      <c r="E528" t="s">
        <v>32</v>
      </c>
      <c r="F528" t="s">
        <v>204</v>
      </c>
      <c r="G528" t="s">
        <v>82</v>
      </c>
      <c r="H528" t="s">
        <v>82</v>
      </c>
      <c r="I528" t="s">
        <v>82</v>
      </c>
      <c r="J528" t="s">
        <v>82</v>
      </c>
      <c r="K528" t="s">
        <v>82</v>
      </c>
      <c r="L528" t="s">
        <v>82</v>
      </c>
      <c r="M528" t="s">
        <v>82</v>
      </c>
      <c r="N528" t="s">
        <v>82</v>
      </c>
      <c r="O528" t="s">
        <v>82</v>
      </c>
      <c r="P528" t="s">
        <v>82</v>
      </c>
      <c r="Q528" t="s">
        <v>82</v>
      </c>
      <c r="R528" t="s">
        <v>82</v>
      </c>
      <c r="S528" t="s">
        <v>82</v>
      </c>
      <c r="T528" t="s">
        <v>82</v>
      </c>
      <c r="U528" t="s">
        <v>82</v>
      </c>
      <c r="V528" t="s">
        <v>82</v>
      </c>
      <c r="W528" t="s">
        <v>82</v>
      </c>
      <c r="X528" t="s">
        <v>82</v>
      </c>
      <c r="Y528" t="s">
        <v>82</v>
      </c>
      <c r="Z528" t="s">
        <v>82</v>
      </c>
      <c r="AA528">
        <v>238.49799999999999</v>
      </c>
      <c r="AB528">
        <v>263.738</v>
      </c>
      <c r="AC528">
        <v>302.25200000000001</v>
      </c>
      <c r="AD528">
        <v>337.11099999999999</v>
      </c>
      <c r="AE528">
        <v>375.22899999999998</v>
      </c>
      <c r="AF528">
        <v>461.82900000000001</v>
      </c>
      <c r="AG528">
        <v>507.53899999999999</v>
      </c>
      <c r="AH528">
        <v>573.25300000000004</v>
      </c>
      <c r="AI528">
        <v>679.24699999999996</v>
      </c>
      <c r="AJ528">
        <v>795.16600000000005</v>
      </c>
      <c r="AK528">
        <v>864.15700000000004</v>
      </c>
      <c r="AL528">
        <v>933.61300000000006</v>
      </c>
      <c r="AM528" s="27">
        <v>1020.65</v>
      </c>
      <c r="AN528" s="27">
        <v>1118.42</v>
      </c>
      <c r="AO528" s="27">
        <v>1210.94</v>
      </c>
      <c r="AP528" s="27">
        <v>1331.51</v>
      </c>
      <c r="AQ528" s="27">
        <v>1426.45</v>
      </c>
      <c r="AR528" s="27">
        <v>1546.3</v>
      </c>
      <c r="AS528" s="27">
        <v>1655.65</v>
      </c>
      <c r="AT528" s="27">
        <v>1788.02</v>
      </c>
      <c r="AU528" s="27">
        <v>1927.82</v>
      </c>
      <c r="AV528" s="27">
        <v>2069.9699999999998</v>
      </c>
      <c r="AW528" s="27">
        <v>2220.23</v>
      </c>
    </row>
    <row r="529" spans="1:49" x14ac:dyDescent="0.35">
      <c r="A529" t="s">
        <v>11</v>
      </c>
      <c r="B529" t="s">
        <v>107</v>
      </c>
      <c r="C529" t="s">
        <v>108</v>
      </c>
      <c r="D529" t="s">
        <v>70</v>
      </c>
      <c r="F529" t="s">
        <v>109</v>
      </c>
      <c r="G529" t="s">
        <v>82</v>
      </c>
      <c r="H529" t="s">
        <v>82</v>
      </c>
      <c r="I529" t="s">
        <v>82</v>
      </c>
      <c r="J529" t="s">
        <v>82</v>
      </c>
      <c r="K529" t="s">
        <v>82</v>
      </c>
      <c r="L529" t="s">
        <v>82</v>
      </c>
      <c r="M529" t="s">
        <v>82</v>
      </c>
      <c r="N529" t="s">
        <v>82</v>
      </c>
      <c r="O529" t="s">
        <v>82</v>
      </c>
      <c r="P529" t="s">
        <v>82</v>
      </c>
      <c r="Q529" t="s">
        <v>82</v>
      </c>
      <c r="R529" t="s">
        <v>82</v>
      </c>
      <c r="S529" t="s">
        <v>82</v>
      </c>
      <c r="T529" t="s">
        <v>82</v>
      </c>
      <c r="U529" t="s">
        <v>82</v>
      </c>
      <c r="V529" t="s">
        <v>82</v>
      </c>
      <c r="W529" t="s">
        <v>82</v>
      </c>
      <c r="X529" t="s">
        <v>82</v>
      </c>
      <c r="Y529" t="s">
        <v>82</v>
      </c>
      <c r="Z529" t="s">
        <v>82</v>
      </c>
      <c r="AA529">
        <v>25.202999999999999</v>
      </c>
      <c r="AB529">
        <v>25.21</v>
      </c>
      <c r="AC529">
        <v>24.83</v>
      </c>
      <c r="AD529">
        <v>25.428000000000001</v>
      </c>
      <c r="AE529">
        <v>25.411000000000001</v>
      </c>
      <c r="AF529">
        <v>28.172999999999998</v>
      </c>
      <c r="AG529">
        <v>27.593</v>
      </c>
      <c r="AH529">
        <v>27.175000000000001</v>
      </c>
      <c r="AI529">
        <v>28.672000000000001</v>
      </c>
      <c r="AJ529">
        <v>31.709</v>
      </c>
      <c r="AK529">
        <v>31.446999999999999</v>
      </c>
      <c r="AL529">
        <v>30.876999999999999</v>
      </c>
      <c r="AM529">
        <v>31.367999999999999</v>
      </c>
      <c r="AN529">
        <v>31.596</v>
      </c>
      <c r="AO529">
        <v>31.803000000000001</v>
      </c>
      <c r="AP529">
        <v>32.878999999999998</v>
      </c>
      <c r="AQ529">
        <v>32.875999999999998</v>
      </c>
      <c r="AR529">
        <v>33.539000000000001</v>
      </c>
      <c r="AS529">
        <v>33.707999999999998</v>
      </c>
      <c r="AT529">
        <v>33.936</v>
      </c>
      <c r="AU529">
        <v>33.904000000000003</v>
      </c>
      <c r="AV529">
        <v>33.731999999999999</v>
      </c>
      <c r="AW529">
        <v>33.524000000000001</v>
      </c>
    </row>
    <row r="530" spans="1:49" x14ac:dyDescent="0.35">
      <c r="A530" t="s">
        <v>11</v>
      </c>
      <c r="B530" t="s">
        <v>110</v>
      </c>
      <c r="C530" t="s">
        <v>111</v>
      </c>
      <c r="D530" t="s">
        <v>31</v>
      </c>
      <c r="E530" t="s">
        <v>32</v>
      </c>
      <c r="F530" t="s">
        <v>204</v>
      </c>
      <c r="G530" t="s">
        <v>82</v>
      </c>
      <c r="H530" t="s">
        <v>82</v>
      </c>
      <c r="I530" t="s">
        <v>82</v>
      </c>
      <c r="J530" t="s">
        <v>82</v>
      </c>
      <c r="K530" t="s">
        <v>82</v>
      </c>
      <c r="L530" t="s">
        <v>82</v>
      </c>
      <c r="M530" t="s">
        <v>82</v>
      </c>
      <c r="N530" t="s">
        <v>82</v>
      </c>
      <c r="O530" t="s">
        <v>82</v>
      </c>
      <c r="P530" t="s">
        <v>82</v>
      </c>
      <c r="Q530" t="s">
        <v>82</v>
      </c>
      <c r="R530" t="s">
        <v>82</v>
      </c>
      <c r="S530" t="s">
        <v>82</v>
      </c>
      <c r="T530" t="s">
        <v>82</v>
      </c>
      <c r="U530" t="s">
        <v>82</v>
      </c>
      <c r="V530" t="s">
        <v>82</v>
      </c>
      <c r="W530" t="s">
        <v>82</v>
      </c>
      <c r="X530" t="s">
        <v>82</v>
      </c>
      <c r="Y530" t="s">
        <v>82</v>
      </c>
      <c r="Z530" t="s">
        <v>82</v>
      </c>
      <c r="AA530">
        <v>-14.563000000000001</v>
      </c>
      <c r="AB530">
        <v>-11.84</v>
      </c>
      <c r="AC530">
        <v>-13.037000000000001</v>
      </c>
      <c r="AD530">
        <v>-23.67</v>
      </c>
      <c r="AE530">
        <v>-17.25</v>
      </c>
      <c r="AF530">
        <v>-7.9240000000000004</v>
      </c>
      <c r="AG530">
        <v>12.456</v>
      </c>
      <c r="AH530">
        <v>26.853999999999999</v>
      </c>
      <c r="AI530">
        <v>-15.977</v>
      </c>
      <c r="AJ530">
        <v>-132.148</v>
      </c>
      <c r="AK530">
        <v>-134.66499999999999</v>
      </c>
      <c r="AL530">
        <v>-119.087</v>
      </c>
      <c r="AM530">
        <v>-142.929</v>
      </c>
      <c r="AN530">
        <v>-151.07400000000001</v>
      </c>
      <c r="AO530">
        <v>-158.41399999999999</v>
      </c>
      <c r="AP530">
        <v>-185.5</v>
      </c>
      <c r="AQ530">
        <v>-172.81399999999999</v>
      </c>
      <c r="AR530">
        <v>-205.334</v>
      </c>
      <c r="AS530">
        <v>-211.89699999999999</v>
      </c>
      <c r="AT530">
        <v>-226.184</v>
      </c>
      <c r="AU530">
        <v>-241.351</v>
      </c>
      <c r="AV530">
        <v>-249.48500000000001</v>
      </c>
      <c r="AW530">
        <v>-254.214</v>
      </c>
    </row>
    <row r="531" spans="1:49" x14ac:dyDescent="0.35">
      <c r="A531" t="s">
        <v>11</v>
      </c>
      <c r="B531" t="s">
        <v>110</v>
      </c>
      <c r="C531" t="s">
        <v>111</v>
      </c>
      <c r="D531" t="s">
        <v>70</v>
      </c>
      <c r="F531" t="s">
        <v>112</v>
      </c>
      <c r="G531" t="s">
        <v>82</v>
      </c>
      <c r="H531" t="s">
        <v>82</v>
      </c>
      <c r="I531" t="s">
        <v>82</v>
      </c>
      <c r="J531" t="s">
        <v>82</v>
      </c>
      <c r="K531" t="s">
        <v>82</v>
      </c>
      <c r="L531" t="s">
        <v>82</v>
      </c>
      <c r="M531" t="s">
        <v>82</v>
      </c>
      <c r="N531" t="s">
        <v>82</v>
      </c>
      <c r="O531" t="s">
        <v>82</v>
      </c>
      <c r="P531" t="s">
        <v>82</v>
      </c>
      <c r="Q531" t="s">
        <v>82</v>
      </c>
      <c r="R531" t="s">
        <v>82</v>
      </c>
      <c r="S531" t="s">
        <v>82</v>
      </c>
      <c r="T531" t="s">
        <v>82</v>
      </c>
      <c r="U531" t="s">
        <v>82</v>
      </c>
      <c r="V531" t="s">
        <v>82</v>
      </c>
      <c r="W531" t="s">
        <v>82</v>
      </c>
      <c r="X531" t="s">
        <v>82</v>
      </c>
      <c r="Y531" t="s">
        <v>82</v>
      </c>
      <c r="Z531" t="s">
        <v>82</v>
      </c>
      <c r="AA531">
        <v>-1.5389999999999999</v>
      </c>
      <c r="AB531">
        <v>-1.1319999999999999</v>
      </c>
      <c r="AC531">
        <v>-1.071</v>
      </c>
      <c r="AD531">
        <v>-1.7849999999999999</v>
      </c>
      <c r="AE531">
        <v>-1.1679999999999999</v>
      </c>
      <c r="AF531">
        <v>-0.48299999999999998</v>
      </c>
      <c r="AG531">
        <v>0.67700000000000005</v>
      </c>
      <c r="AH531">
        <v>1.2729999999999999</v>
      </c>
      <c r="AI531">
        <v>-0.67400000000000004</v>
      </c>
      <c r="AJ531">
        <v>-5.27</v>
      </c>
      <c r="AK531">
        <v>-4.9000000000000004</v>
      </c>
      <c r="AL531">
        <v>-3.9390000000000001</v>
      </c>
      <c r="AM531">
        <v>-4.3929999999999998</v>
      </c>
      <c r="AN531">
        <v>-4.2679999999999998</v>
      </c>
      <c r="AO531">
        <v>-4.16</v>
      </c>
      <c r="AP531">
        <v>-4.5810000000000004</v>
      </c>
      <c r="AQ531">
        <v>-3.9830000000000001</v>
      </c>
      <c r="AR531">
        <v>-4.4539999999999997</v>
      </c>
      <c r="AS531">
        <v>-4.3140000000000001</v>
      </c>
      <c r="AT531">
        <v>-4.2930000000000001</v>
      </c>
      <c r="AU531">
        <v>-4.2450000000000001</v>
      </c>
      <c r="AV531">
        <v>-4.0659999999999998</v>
      </c>
      <c r="AW531">
        <v>-3.839</v>
      </c>
    </row>
    <row r="532" spans="1:49" x14ac:dyDescent="0.35">
      <c r="A532" t="s">
        <v>11</v>
      </c>
      <c r="B532" t="s">
        <v>113</v>
      </c>
      <c r="C532" t="s">
        <v>114</v>
      </c>
      <c r="D532" t="s">
        <v>31</v>
      </c>
      <c r="E532" t="s">
        <v>32</v>
      </c>
      <c r="F532" t="s">
        <v>204</v>
      </c>
      <c r="G532" t="s">
        <v>82</v>
      </c>
      <c r="H532" t="s">
        <v>82</v>
      </c>
      <c r="I532" t="s">
        <v>82</v>
      </c>
      <c r="J532" t="s">
        <v>82</v>
      </c>
      <c r="K532" t="s">
        <v>82</v>
      </c>
      <c r="L532" t="s">
        <v>82</v>
      </c>
      <c r="M532" t="s">
        <v>82</v>
      </c>
      <c r="N532" t="s">
        <v>82</v>
      </c>
      <c r="O532" t="s">
        <v>82</v>
      </c>
      <c r="P532" t="s">
        <v>82</v>
      </c>
      <c r="Q532" t="s">
        <v>82</v>
      </c>
      <c r="R532" t="s">
        <v>82</v>
      </c>
      <c r="S532" t="s">
        <v>82</v>
      </c>
      <c r="T532" t="s">
        <v>82</v>
      </c>
      <c r="U532" t="s">
        <v>82</v>
      </c>
      <c r="V532" t="s">
        <v>82</v>
      </c>
      <c r="W532" t="s">
        <v>82</v>
      </c>
      <c r="X532" t="s">
        <v>82</v>
      </c>
      <c r="Y532" t="s">
        <v>82</v>
      </c>
      <c r="Z532" t="s">
        <v>82</v>
      </c>
      <c r="AA532">
        <v>-12.704000000000001</v>
      </c>
      <c r="AB532">
        <v>-7.601</v>
      </c>
      <c r="AC532">
        <v>-8.4789999999999992</v>
      </c>
      <c r="AD532">
        <v>-15.804</v>
      </c>
      <c r="AE532">
        <v>-11.7</v>
      </c>
      <c r="AF532">
        <v>-6.2</v>
      </c>
      <c r="AG532">
        <v>9.3049999999999997</v>
      </c>
      <c r="AH532">
        <v>15.086</v>
      </c>
      <c r="AI532">
        <v>-24.899000000000001</v>
      </c>
      <c r="AJ532">
        <v>-93.034999999999997</v>
      </c>
      <c r="AK532">
        <v>-100.67700000000001</v>
      </c>
      <c r="AL532">
        <v>-109.021</v>
      </c>
      <c r="AM532">
        <v>-136.126</v>
      </c>
      <c r="AN532">
        <v>-146.94</v>
      </c>
      <c r="AO532">
        <v>-152.41900000000001</v>
      </c>
      <c r="AP532">
        <v>-158.33199999999999</v>
      </c>
      <c r="AQ532">
        <v>-156.52000000000001</v>
      </c>
      <c r="AR532">
        <v>-161.53100000000001</v>
      </c>
      <c r="AS532">
        <v>-168.54</v>
      </c>
      <c r="AT532">
        <v>-182.137</v>
      </c>
      <c r="AU532">
        <v>-195.92699999999999</v>
      </c>
      <c r="AV532">
        <v>-207.74799999999999</v>
      </c>
      <c r="AW532">
        <v>-226.292</v>
      </c>
    </row>
    <row r="533" spans="1:49" x14ac:dyDescent="0.35">
      <c r="A533" t="s">
        <v>11</v>
      </c>
      <c r="B533" t="s">
        <v>113</v>
      </c>
      <c r="C533" t="s">
        <v>114</v>
      </c>
      <c r="D533" t="s">
        <v>61</v>
      </c>
      <c r="F533" t="s">
        <v>175</v>
      </c>
      <c r="G533" t="s">
        <v>82</v>
      </c>
      <c r="H533" t="s">
        <v>82</v>
      </c>
      <c r="I533" t="s">
        <v>82</v>
      </c>
      <c r="J533" t="s">
        <v>82</v>
      </c>
      <c r="K533" t="s">
        <v>82</v>
      </c>
      <c r="L533" t="s">
        <v>82</v>
      </c>
      <c r="M533" t="s">
        <v>82</v>
      </c>
      <c r="N533" t="s">
        <v>82</v>
      </c>
      <c r="O533" t="s">
        <v>82</v>
      </c>
      <c r="P533" t="s">
        <v>82</v>
      </c>
      <c r="Q533" t="s">
        <v>82</v>
      </c>
      <c r="R533" t="s">
        <v>82</v>
      </c>
      <c r="S533" t="s">
        <v>82</v>
      </c>
      <c r="T533" t="s">
        <v>82</v>
      </c>
      <c r="U533" t="s">
        <v>82</v>
      </c>
      <c r="V533" t="s">
        <v>82</v>
      </c>
      <c r="W533" t="s">
        <v>82</v>
      </c>
      <c r="X533" t="s">
        <v>82</v>
      </c>
      <c r="Y533" t="s">
        <v>82</v>
      </c>
      <c r="Z533" t="s">
        <v>82</v>
      </c>
      <c r="AA533">
        <v>-1.3460000000000001</v>
      </c>
      <c r="AB533">
        <v>-0.72499999999999998</v>
      </c>
      <c r="AC533">
        <v>-0.69599999999999995</v>
      </c>
      <c r="AD533">
        <v>-1.179</v>
      </c>
      <c r="AE533">
        <v>-0.78500000000000003</v>
      </c>
      <c r="AF533">
        <v>-0.377</v>
      </c>
      <c r="AG533">
        <v>0.51</v>
      </c>
      <c r="AH533">
        <v>0.73099999999999998</v>
      </c>
      <c r="AI533">
        <v>-1.0740000000000001</v>
      </c>
      <c r="AJ533">
        <v>-3.6389999999999998</v>
      </c>
      <c r="AK533">
        <v>-3.6190000000000002</v>
      </c>
      <c r="AL533">
        <v>-3.5960000000000001</v>
      </c>
      <c r="AM533">
        <v>-4.173</v>
      </c>
      <c r="AN533">
        <v>-4.1520000000000001</v>
      </c>
      <c r="AO533">
        <v>-4</v>
      </c>
      <c r="AP533">
        <v>-3.899</v>
      </c>
      <c r="AQ533">
        <v>-3.5649999999999999</v>
      </c>
      <c r="AR533">
        <v>-3.4489999999999998</v>
      </c>
      <c r="AS533">
        <v>-3.3730000000000002</v>
      </c>
      <c r="AT533">
        <v>-3.407</v>
      </c>
      <c r="AU533">
        <v>-3.4159999999999999</v>
      </c>
      <c r="AV533">
        <v>-3.3690000000000002</v>
      </c>
      <c r="AW533">
        <v>-3.4140000000000001</v>
      </c>
    </row>
    <row r="534" spans="1:49" x14ac:dyDescent="0.35">
      <c r="A534" t="s">
        <v>11</v>
      </c>
      <c r="B534" t="s">
        <v>115</v>
      </c>
      <c r="C534" t="s">
        <v>116</v>
      </c>
      <c r="D534" t="s">
        <v>31</v>
      </c>
      <c r="E534" t="s">
        <v>32</v>
      </c>
      <c r="F534" t="s">
        <v>204</v>
      </c>
      <c r="G534" t="s">
        <v>82</v>
      </c>
      <c r="H534" t="s">
        <v>82</v>
      </c>
      <c r="I534" t="s">
        <v>82</v>
      </c>
      <c r="J534" t="s">
        <v>82</v>
      </c>
      <c r="K534" t="s">
        <v>82</v>
      </c>
      <c r="L534" t="s">
        <v>82</v>
      </c>
      <c r="M534" t="s">
        <v>82</v>
      </c>
      <c r="N534" t="s">
        <v>82</v>
      </c>
      <c r="O534" t="s">
        <v>82</v>
      </c>
      <c r="P534" t="s">
        <v>82</v>
      </c>
      <c r="Q534" t="s">
        <v>82</v>
      </c>
      <c r="R534" t="s">
        <v>82</v>
      </c>
      <c r="S534" t="s">
        <v>82</v>
      </c>
      <c r="T534" t="s">
        <v>82</v>
      </c>
      <c r="U534" t="s">
        <v>82</v>
      </c>
      <c r="V534" t="s">
        <v>82</v>
      </c>
      <c r="W534" t="s">
        <v>82</v>
      </c>
      <c r="X534" t="s">
        <v>82</v>
      </c>
      <c r="Y534" t="s">
        <v>82</v>
      </c>
      <c r="Z534" t="s">
        <v>82</v>
      </c>
      <c r="AA534">
        <v>31.283000000000001</v>
      </c>
      <c r="AB534">
        <v>35.244</v>
      </c>
      <c r="AC534">
        <v>34.392000000000003</v>
      </c>
      <c r="AD534">
        <v>22.617000000000001</v>
      </c>
      <c r="AE534">
        <v>31.175000000000001</v>
      </c>
      <c r="AF534">
        <v>41.25</v>
      </c>
      <c r="AG534">
        <v>62.753</v>
      </c>
      <c r="AH534">
        <v>78.417000000000002</v>
      </c>
      <c r="AI534">
        <v>37.252000000000002</v>
      </c>
      <c r="AJ534">
        <v>-74.965999999999994</v>
      </c>
      <c r="AK534">
        <v>-66.825999999999993</v>
      </c>
      <c r="AL534">
        <v>-42.600999999999999</v>
      </c>
      <c r="AM534">
        <v>-55.759</v>
      </c>
      <c r="AN534">
        <v>-48.314</v>
      </c>
      <c r="AO534">
        <v>-43.997</v>
      </c>
      <c r="AP534">
        <v>-57.411000000000001</v>
      </c>
      <c r="AQ534">
        <v>-26.34</v>
      </c>
      <c r="AR534">
        <v>-40.408999999999999</v>
      </c>
      <c r="AS534">
        <v>-28.745000000000001</v>
      </c>
      <c r="AT534">
        <v>-20.385000000000002</v>
      </c>
      <c r="AU534">
        <v>-12.03</v>
      </c>
      <c r="AV534">
        <v>4.4569999999999999</v>
      </c>
      <c r="AW534">
        <v>25.513999999999999</v>
      </c>
    </row>
    <row r="535" spans="1:49" x14ac:dyDescent="0.35">
      <c r="A535" t="s">
        <v>11</v>
      </c>
      <c r="B535" t="s">
        <v>115</v>
      </c>
      <c r="C535" t="s">
        <v>116</v>
      </c>
      <c r="D535" t="s">
        <v>70</v>
      </c>
      <c r="F535" t="s">
        <v>117</v>
      </c>
      <c r="G535" t="s">
        <v>82</v>
      </c>
      <c r="H535" t="s">
        <v>82</v>
      </c>
      <c r="I535" t="s">
        <v>82</v>
      </c>
      <c r="J535" t="s">
        <v>82</v>
      </c>
      <c r="K535" t="s">
        <v>82</v>
      </c>
      <c r="L535" t="s">
        <v>82</v>
      </c>
      <c r="M535" t="s">
        <v>82</v>
      </c>
      <c r="N535" t="s">
        <v>82</v>
      </c>
      <c r="O535" t="s">
        <v>82</v>
      </c>
      <c r="P535" t="s">
        <v>82</v>
      </c>
      <c r="Q535" t="s">
        <v>82</v>
      </c>
      <c r="R535" t="s">
        <v>82</v>
      </c>
      <c r="S535" t="s">
        <v>82</v>
      </c>
      <c r="T535" t="s">
        <v>82</v>
      </c>
      <c r="U535" t="s">
        <v>82</v>
      </c>
      <c r="V535" t="s">
        <v>82</v>
      </c>
      <c r="W535" t="s">
        <v>82</v>
      </c>
      <c r="X535" t="s">
        <v>82</v>
      </c>
      <c r="Y535" t="s">
        <v>82</v>
      </c>
      <c r="Z535" t="s">
        <v>82</v>
      </c>
      <c r="AA535">
        <v>3.306</v>
      </c>
      <c r="AB535">
        <v>3.3690000000000002</v>
      </c>
      <c r="AC535">
        <v>2.8250000000000002</v>
      </c>
      <c r="AD535">
        <v>1.706</v>
      </c>
      <c r="AE535">
        <v>2.1110000000000002</v>
      </c>
      <c r="AF535">
        <v>2.516</v>
      </c>
      <c r="AG535">
        <v>3.4119999999999999</v>
      </c>
      <c r="AH535">
        <v>3.7170000000000001</v>
      </c>
      <c r="AI535">
        <v>1.5720000000000001</v>
      </c>
      <c r="AJ535">
        <v>-2.9889999999999999</v>
      </c>
      <c r="AK535">
        <v>-2.4319999999999999</v>
      </c>
      <c r="AL535">
        <v>-1.409</v>
      </c>
      <c r="AM535">
        <v>-1.714</v>
      </c>
      <c r="AN535">
        <v>-1.365</v>
      </c>
      <c r="AO535">
        <v>-1.155</v>
      </c>
      <c r="AP535">
        <v>-1.4179999999999999</v>
      </c>
      <c r="AQ535">
        <v>-0.60699999999999998</v>
      </c>
      <c r="AR535">
        <v>-0.876</v>
      </c>
      <c r="AS535">
        <v>-0.58499999999999996</v>
      </c>
      <c r="AT535">
        <v>-0.38700000000000001</v>
      </c>
      <c r="AU535">
        <v>-0.21199999999999999</v>
      </c>
      <c r="AV535">
        <v>7.2999999999999995E-2</v>
      </c>
      <c r="AW535">
        <v>0.38500000000000001</v>
      </c>
    </row>
    <row r="536" spans="1:49" x14ac:dyDescent="0.35">
      <c r="A536" t="s">
        <v>11</v>
      </c>
      <c r="B536" t="s">
        <v>118</v>
      </c>
      <c r="C536" t="s">
        <v>119</v>
      </c>
      <c r="D536" t="s">
        <v>31</v>
      </c>
      <c r="E536" t="s">
        <v>32</v>
      </c>
      <c r="F536" t="s">
        <v>204</v>
      </c>
      <c r="G536" t="s">
        <v>82</v>
      </c>
      <c r="H536" t="s">
        <v>82</v>
      </c>
      <c r="I536" t="s">
        <v>82</v>
      </c>
      <c r="J536" t="s">
        <v>82</v>
      </c>
      <c r="K536" t="s">
        <v>82</v>
      </c>
      <c r="L536" t="s">
        <v>82</v>
      </c>
      <c r="M536" t="s">
        <v>82</v>
      </c>
      <c r="N536" t="s">
        <v>82</v>
      </c>
      <c r="O536" t="s">
        <v>82</v>
      </c>
      <c r="P536" t="s">
        <v>82</v>
      </c>
      <c r="Q536" t="s">
        <v>82</v>
      </c>
      <c r="R536" t="s">
        <v>82</v>
      </c>
      <c r="S536" t="s">
        <v>82</v>
      </c>
      <c r="T536" t="s">
        <v>82</v>
      </c>
      <c r="U536" t="s">
        <v>82</v>
      </c>
      <c r="V536" t="s">
        <v>82</v>
      </c>
      <c r="W536" t="s">
        <v>82</v>
      </c>
      <c r="X536" t="s">
        <v>82</v>
      </c>
      <c r="Y536" t="s">
        <v>82</v>
      </c>
      <c r="Z536" t="s">
        <v>82</v>
      </c>
      <c r="AA536">
        <v>392.72699999999998</v>
      </c>
      <c r="AB536">
        <v>439.61200000000002</v>
      </c>
      <c r="AC536">
        <v>427.17200000000003</v>
      </c>
      <c r="AD536">
        <v>460.767</v>
      </c>
      <c r="AE536">
        <v>496.00900000000001</v>
      </c>
      <c r="AF536">
        <v>470.26</v>
      </c>
      <c r="AG536">
        <v>476.31099999999998</v>
      </c>
      <c r="AH536">
        <v>482.01499999999999</v>
      </c>
      <c r="AI536">
        <v>515.02700000000004</v>
      </c>
      <c r="AJ536">
        <v>636.18700000000001</v>
      </c>
      <c r="AK536">
        <v>783.56700000000001</v>
      </c>
      <c r="AL536">
        <v>947.40099999999995</v>
      </c>
      <c r="AM536" s="27">
        <v>1133.6400000000001</v>
      </c>
      <c r="AN536" s="27">
        <v>1353.34</v>
      </c>
      <c r="AO536" s="27">
        <v>1553.13</v>
      </c>
      <c r="AP536" s="27">
        <v>1786.3</v>
      </c>
      <c r="AQ536" s="27">
        <v>1968.43</v>
      </c>
      <c r="AR536" s="27">
        <v>2196.87</v>
      </c>
      <c r="AS536" s="27">
        <v>2463.0100000000002</v>
      </c>
      <c r="AT536" s="27">
        <v>2744.17</v>
      </c>
      <c r="AU536" s="27">
        <v>3060.58</v>
      </c>
      <c r="AV536" s="27">
        <v>3395.24</v>
      </c>
      <c r="AW536" s="27">
        <v>3738.44</v>
      </c>
    </row>
    <row r="537" spans="1:49" x14ac:dyDescent="0.35">
      <c r="A537" t="s">
        <v>11</v>
      </c>
      <c r="B537" t="s">
        <v>118</v>
      </c>
      <c r="C537" t="s">
        <v>119</v>
      </c>
      <c r="D537" t="s">
        <v>70</v>
      </c>
      <c r="F537" t="s">
        <v>134</v>
      </c>
      <c r="G537" t="s">
        <v>82</v>
      </c>
      <c r="H537" t="s">
        <v>82</v>
      </c>
      <c r="I537" t="s">
        <v>82</v>
      </c>
      <c r="J537" t="s">
        <v>82</v>
      </c>
      <c r="K537" t="s">
        <v>82</v>
      </c>
      <c r="L537" t="s">
        <v>82</v>
      </c>
      <c r="M537" t="s">
        <v>82</v>
      </c>
      <c r="N537" t="s">
        <v>82</v>
      </c>
      <c r="O537" t="s">
        <v>82</v>
      </c>
      <c r="P537" t="s">
        <v>82</v>
      </c>
      <c r="Q537" t="s">
        <v>82</v>
      </c>
      <c r="R537" t="s">
        <v>82</v>
      </c>
      <c r="S537" t="s">
        <v>82</v>
      </c>
      <c r="T537" t="s">
        <v>82</v>
      </c>
      <c r="U537" t="s">
        <v>82</v>
      </c>
      <c r="V537" t="s">
        <v>82</v>
      </c>
      <c r="W537" t="s">
        <v>82</v>
      </c>
      <c r="X537" t="s">
        <v>82</v>
      </c>
      <c r="Y537" t="s">
        <v>82</v>
      </c>
      <c r="Z537" t="s">
        <v>82</v>
      </c>
      <c r="AA537">
        <v>41.5</v>
      </c>
      <c r="AB537">
        <v>42.021999999999998</v>
      </c>
      <c r="AC537">
        <v>35.093000000000004</v>
      </c>
      <c r="AD537">
        <v>34.755000000000003</v>
      </c>
      <c r="AE537">
        <v>33.591000000000001</v>
      </c>
      <c r="AF537">
        <v>28.687000000000001</v>
      </c>
      <c r="AG537">
        <v>25.895</v>
      </c>
      <c r="AH537">
        <v>22.85</v>
      </c>
      <c r="AI537">
        <v>21.74</v>
      </c>
      <c r="AJ537">
        <v>25.37</v>
      </c>
      <c r="AK537">
        <v>28.513999999999999</v>
      </c>
      <c r="AL537">
        <v>31.332999999999998</v>
      </c>
      <c r="AM537">
        <v>34.840000000000003</v>
      </c>
      <c r="AN537">
        <v>38.231999999999999</v>
      </c>
      <c r="AO537">
        <v>40.789000000000001</v>
      </c>
      <c r="AP537">
        <v>44.109000000000002</v>
      </c>
      <c r="AQ537">
        <v>45.366999999999997</v>
      </c>
      <c r="AR537">
        <v>47.65</v>
      </c>
      <c r="AS537">
        <v>50.146000000000001</v>
      </c>
      <c r="AT537">
        <v>52.082999999999998</v>
      </c>
      <c r="AU537">
        <v>53.825000000000003</v>
      </c>
      <c r="AV537">
        <v>55.328000000000003</v>
      </c>
      <c r="AW537">
        <v>56.448999999999998</v>
      </c>
    </row>
    <row r="538" spans="1:49" x14ac:dyDescent="0.35">
      <c r="A538" t="s">
        <v>11</v>
      </c>
      <c r="B538" t="s">
        <v>120</v>
      </c>
      <c r="C538" t="s">
        <v>121</v>
      </c>
      <c r="D538" t="s">
        <v>31</v>
      </c>
      <c r="E538" t="s">
        <v>32</v>
      </c>
      <c r="F538" t="s">
        <v>204</v>
      </c>
      <c r="G538" t="s">
        <v>82</v>
      </c>
      <c r="H538" t="s">
        <v>82</v>
      </c>
      <c r="I538" t="s">
        <v>82</v>
      </c>
      <c r="J538" t="s">
        <v>82</v>
      </c>
      <c r="K538" t="s">
        <v>82</v>
      </c>
      <c r="L538" t="s">
        <v>82</v>
      </c>
      <c r="M538" t="s">
        <v>82</v>
      </c>
      <c r="N538" t="s">
        <v>82</v>
      </c>
      <c r="O538" t="s">
        <v>82</v>
      </c>
      <c r="P538" t="s">
        <v>82</v>
      </c>
      <c r="Q538" t="s">
        <v>82</v>
      </c>
      <c r="R538" t="s">
        <v>82</v>
      </c>
      <c r="S538" t="s">
        <v>82</v>
      </c>
      <c r="T538" t="s">
        <v>82</v>
      </c>
      <c r="U538" t="s">
        <v>82</v>
      </c>
      <c r="V538" t="s">
        <v>82</v>
      </c>
      <c r="W538" t="s">
        <v>82</v>
      </c>
      <c r="X538" t="s">
        <v>82</v>
      </c>
      <c r="Y538" t="s">
        <v>82</v>
      </c>
      <c r="Z538" t="s">
        <v>82</v>
      </c>
      <c r="AA538">
        <v>399.44499999999999</v>
      </c>
      <c r="AB538">
        <v>443.584</v>
      </c>
      <c r="AC538">
        <v>432.70499999999998</v>
      </c>
      <c r="AD538">
        <v>469.68599999999998</v>
      </c>
      <c r="AE538">
        <v>507.85</v>
      </c>
      <c r="AF538">
        <v>544.43399999999997</v>
      </c>
      <c r="AG538">
        <v>576.74599999999998</v>
      </c>
      <c r="AH538">
        <v>570.846</v>
      </c>
      <c r="AI538">
        <v>627.93600000000004</v>
      </c>
      <c r="AJ538">
        <v>754.26599999999996</v>
      </c>
      <c r="AK538">
        <v>952.87699999999995</v>
      </c>
      <c r="AL538" s="27">
        <v>1155.8599999999999</v>
      </c>
      <c r="AM538" s="27">
        <v>1334.08</v>
      </c>
      <c r="AN538" s="27">
        <v>1561.12</v>
      </c>
      <c r="AO538" s="27">
        <v>1787.94</v>
      </c>
      <c r="AP538" s="27">
        <v>1997.89</v>
      </c>
      <c r="AQ538" s="27">
        <v>2243.2600000000002</v>
      </c>
      <c r="AR538" s="27">
        <v>2443.17</v>
      </c>
      <c r="AS538" s="27">
        <v>2728.9</v>
      </c>
      <c r="AT538" s="27">
        <v>3009.09</v>
      </c>
      <c r="AU538" s="27">
        <v>3300.97</v>
      </c>
      <c r="AV538" s="27">
        <v>3605.52</v>
      </c>
      <c r="AW538" s="27">
        <v>3918.62</v>
      </c>
    </row>
    <row r="539" spans="1:49" x14ac:dyDescent="0.35">
      <c r="A539" t="s">
        <v>11</v>
      </c>
      <c r="B539" t="s">
        <v>120</v>
      </c>
      <c r="C539" t="s">
        <v>121</v>
      </c>
      <c r="D539" t="s">
        <v>70</v>
      </c>
      <c r="F539" t="s">
        <v>122</v>
      </c>
      <c r="G539" t="s">
        <v>82</v>
      </c>
      <c r="H539" t="s">
        <v>82</v>
      </c>
      <c r="I539" t="s">
        <v>82</v>
      </c>
      <c r="J539" t="s">
        <v>82</v>
      </c>
      <c r="K539" t="s">
        <v>82</v>
      </c>
      <c r="L539" t="s">
        <v>82</v>
      </c>
      <c r="M539" t="s">
        <v>82</v>
      </c>
      <c r="N539" t="s">
        <v>82</v>
      </c>
      <c r="O539" t="s">
        <v>82</v>
      </c>
      <c r="P539" t="s">
        <v>82</v>
      </c>
      <c r="Q539" t="s">
        <v>82</v>
      </c>
      <c r="R539" t="s">
        <v>82</v>
      </c>
      <c r="S539" t="s">
        <v>82</v>
      </c>
      <c r="T539" t="s">
        <v>82</v>
      </c>
      <c r="U539" t="s">
        <v>82</v>
      </c>
      <c r="V539" t="s">
        <v>82</v>
      </c>
      <c r="W539" t="s">
        <v>82</v>
      </c>
      <c r="X539" t="s">
        <v>82</v>
      </c>
      <c r="Y539" t="s">
        <v>82</v>
      </c>
      <c r="Z539" t="s">
        <v>82</v>
      </c>
      <c r="AA539">
        <v>42.21</v>
      </c>
      <c r="AB539">
        <v>42.402000000000001</v>
      </c>
      <c r="AC539">
        <v>35.546999999999997</v>
      </c>
      <c r="AD539">
        <v>35.427999999999997</v>
      </c>
      <c r="AE539">
        <v>34.393000000000001</v>
      </c>
      <c r="AF539">
        <v>33.212000000000003</v>
      </c>
      <c r="AG539">
        <v>31.355</v>
      </c>
      <c r="AH539">
        <v>27.061</v>
      </c>
      <c r="AI539">
        <v>26.506</v>
      </c>
      <c r="AJ539">
        <v>30.077999999999999</v>
      </c>
      <c r="AK539">
        <v>34.674999999999997</v>
      </c>
      <c r="AL539">
        <v>38.226999999999997</v>
      </c>
      <c r="AM539">
        <v>41</v>
      </c>
      <c r="AN539">
        <v>44.101999999999997</v>
      </c>
      <c r="AO539">
        <v>46.956000000000003</v>
      </c>
      <c r="AP539">
        <v>49.334000000000003</v>
      </c>
      <c r="AQ539">
        <v>51.701999999999998</v>
      </c>
      <c r="AR539">
        <v>52.991999999999997</v>
      </c>
      <c r="AS539">
        <v>55.558999999999997</v>
      </c>
      <c r="AT539">
        <v>57.112000000000002</v>
      </c>
      <c r="AU539">
        <v>58.052999999999997</v>
      </c>
      <c r="AV539">
        <v>58.755000000000003</v>
      </c>
      <c r="AW539">
        <v>59.168999999999997</v>
      </c>
    </row>
    <row r="540" spans="1:49" x14ac:dyDescent="0.35">
      <c r="A540" t="s">
        <v>11</v>
      </c>
      <c r="B540" t="s">
        <v>123</v>
      </c>
      <c r="C540" t="s">
        <v>124</v>
      </c>
      <c r="D540" t="s">
        <v>31</v>
      </c>
      <c r="E540" t="s">
        <v>32</v>
      </c>
      <c r="F540" t="s">
        <v>204</v>
      </c>
      <c r="G540">
        <v>64.628</v>
      </c>
      <c r="H540">
        <v>74.994</v>
      </c>
      <c r="I540">
        <v>85.152000000000001</v>
      </c>
      <c r="J540">
        <v>97.39</v>
      </c>
      <c r="K540">
        <v>114.104</v>
      </c>
      <c r="L540">
        <v>131.67500000000001</v>
      </c>
      <c r="M540">
        <v>154.28899999999999</v>
      </c>
      <c r="N540">
        <v>180.339</v>
      </c>
      <c r="O540">
        <v>216.381</v>
      </c>
      <c r="P540">
        <v>259.726</v>
      </c>
      <c r="Q540">
        <v>298.971</v>
      </c>
      <c r="R540">
        <v>342.24400000000003</v>
      </c>
      <c r="S540">
        <v>383.72300000000001</v>
      </c>
      <c r="T540">
        <v>438.88400000000001</v>
      </c>
      <c r="U540">
        <v>496.233</v>
      </c>
      <c r="V540">
        <v>563.87</v>
      </c>
      <c r="W540">
        <v>634.61099999999999</v>
      </c>
      <c r="X540">
        <v>703.11699999999996</v>
      </c>
      <c r="Y540">
        <v>761.65800000000002</v>
      </c>
      <c r="Z540">
        <v>834.75300000000004</v>
      </c>
      <c r="AA540">
        <v>946.32399999999996</v>
      </c>
      <c r="AB540" s="27">
        <v>1046.1400000000001</v>
      </c>
      <c r="AC540" s="27">
        <v>1217.27</v>
      </c>
      <c r="AD540" s="27">
        <v>1325.77</v>
      </c>
      <c r="AE540" s="27">
        <v>1476.62</v>
      </c>
      <c r="AF540" s="27">
        <v>1639.25</v>
      </c>
      <c r="AG540" s="27">
        <v>1839.4</v>
      </c>
      <c r="AH540" s="27">
        <v>2109.5</v>
      </c>
      <c r="AI540" s="27">
        <v>2369.06</v>
      </c>
      <c r="AJ540" s="27">
        <v>2507.6799999999998</v>
      </c>
      <c r="AK540" s="27">
        <v>2748.01</v>
      </c>
      <c r="AL540" s="27">
        <v>3023.66</v>
      </c>
      <c r="AM540" s="27">
        <v>3253.85</v>
      </c>
      <c r="AN540" s="27">
        <v>3539.79</v>
      </c>
      <c r="AO540" s="27">
        <v>3807.68</v>
      </c>
      <c r="AP540" s="27">
        <v>4049.76</v>
      </c>
      <c r="AQ540" s="27">
        <v>4338.8599999999997</v>
      </c>
      <c r="AR540" s="27">
        <v>4610.46</v>
      </c>
      <c r="AS540" s="27">
        <v>4911.71</v>
      </c>
      <c r="AT540" s="27">
        <v>5268.79</v>
      </c>
      <c r="AU540" s="27">
        <v>5686.15</v>
      </c>
      <c r="AV540" s="27">
        <v>6136.59</v>
      </c>
      <c r="AW540" s="27">
        <v>6622.71</v>
      </c>
    </row>
    <row r="541" spans="1:49" x14ac:dyDescent="0.35">
      <c r="A541" t="s">
        <v>11</v>
      </c>
      <c r="B541" t="s">
        <v>125</v>
      </c>
      <c r="C541" t="s">
        <v>126</v>
      </c>
      <c r="D541" t="s">
        <v>41</v>
      </c>
      <c r="E541" t="s">
        <v>32</v>
      </c>
      <c r="F541" t="s">
        <v>205</v>
      </c>
      <c r="G541">
        <v>3.2869999999999999</v>
      </c>
      <c r="H541">
        <v>-5.1429999999999998</v>
      </c>
      <c r="I541">
        <v>-3.4220000000000002</v>
      </c>
      <c r="J541">
        <v>-0.40400000000000003</v>
      </c>
      <c r="K541">
        <v>-1.873</v>
      </c>
      <c r="L541">
        <v>2.3210000000000002</v>
      </c>
      <c r="M541">
        <v>2.7749999999999999</v>
      </c>
      <c r="N541">
        <v>5.1050000000000004</v>
      </c>
      <c r="O541">
        <v>2.5670000000000002</v>
      </c>
      <c r="P541">
        <v>1.514</v>
      </c>
      <c r="Q541">
        <v>1.5449999999999999</v>
      </c>
      <c r="R541">
        <v>1.4159999999999999</v>
      </c>
      <c r="S541">
        <v>1.9630000000000001</v>
      </c>
      <c r="T541">
        <v>2.778</v>
      </c>
      <c r="U541">
        <v>1.6E-2</v>
      </c>
      <c r="V541">
        <v>-2.4940000000000002</v>
      </c>
      <c r="W541">
        <v>-1.6559999999999999</v>
      </c>
      <c r="X541">
        <v>-2.2210000000000001</v>
      </c>
      <c r="Y541">
        <v>-2.3679999999999999</v>
      </c>
      <c r="Z541">
        <v>-0.68</v>
      </c>
      <c r="AA541">
        <v>-0.17199999999999999</v>
      </c>
      <c r="AB541">
        <v>0.33300000000000002</v>
      </c>
      <c r="AC541">
        <v>1.044</v>
      </c>
      <c r="AD541">
        <v>-1.4470000000000001</v>
      </c>
      <c r="AE541">
        <v>-6.3319999999999999</v>
      </c>
      <c r="AF541">
        <v>-8.0630000000000006</v>
      </c>
      <c r="AG541">
        <v>-12.17</v>
      </c>
      <c r="AH541">
        <v>-16.097999999999999</v>
      </c>
      <c r="AI541">
        <v>-15.896000000000001</v>
      </c>
      <c r="AJ541">
        <v>-8.109</v>
      </c>
      <c r="AK541">
        <v>-5.633</v>
      </c>
      <c r="AL541">
        <v>-9.2460000000000004</v>
      </c>
      <c r="AM541">
        <v>-20.335000000000001</v>
      </c>
      <c r="AN541">
        <v>-21.567</v>
      </c>
      <c r="AO541">
        <v>-18.649999999999999</v>
      </c>
      <c r="AP541">
        <v>-13.95</v>
      </c>
      <c r="AQ541">
        <v>-9.6240000000000006</v>
      </c>
      <c r="AR541">
        <v>-9.81</v>
      </c>
      <c r="AS541">
        <v>-11.76</v>
      </c>
      <c r="AT541">
        <v>-13.51</v>
      </c>
      <c r="AU541">
        <v>-14.541</v>
      </c>
      <c r="AV541">
        <v>-15.159000000000001</v>
      </c>
      <c r="AW541">
        <v>-15.837999999999999</v>
      </c>
    </row>
    <row r="542" spans="1:49" x14ac:dyDescent="0.35">
      <c r="A542" t="s">
        <v>11</v>
      </c>
      <c r="B542" t="s">
        <v>125</v>
      </c>
      <c r="C542" t="s">
        <v>126</v>
      </c>
      <c r="D542" t="s">
        <v>70</v>
      </c>
      <c r="F542" t="s">
        <v>128</v>
      </c>
      <c r="G542">
        <v>3.9609999999999999</v>
      </c>
      <c r="H542">
        <v>-6.0179999999999998</v>
      </c>
      <c r="I542">
        <v>-4.3639999999999999</v>
      </c>
      <c r="J542">
        <v>-0.46200000000000002</v>
      </c>
      <c r="K542">
        <v>-2.4220000000000002</v>
      </c>
      <c r="L542">
        <v>3.927</v>
      </c>
      <c r="M542">
        <v>4.1070000000000002</v>
      </c>
      <c r="N542">
        <v>5.7640000000000002</v>
      </c>
      <c r="O542">
        <v>2.6960000000000002</v>
      </c>
      <c r="P542">
        <v>1.5289999999999999</v>
      </c>
      <c r="Q542">
        <v>1.337</v>
      </c>
      <c r="R542">
        <v>1.1419999999999999</v>
      </c>
      <c r="S542">
        <v>1.4590000000000001</v>
      </c>
      <c r="T542">
        <v>2.0680000000000001</v>
      </c>
      <c r="U542">
        <v>1.0999999999999999E-2</v>
      </c>
      <c r="V542">
        <v>-1.6040000000000001</v>
      </c>
      <c r="W542">
        <v>-1.121</v>
      </c>
      <c r="X542">
        <v>-1.4550000000000001</v>
      </c>
      <c r="Y542">
        <v>-1.72</v>
      </c>
      <c r="Z542">
        <v>-0.498</v>
      </c>
      <c r="AA542">
        <v>-0.126</v>
      </c>
      <c r="AB542">
        <v>0.27400000000000002</v>
      </c>
      <c r="AC542">
        <v>0.90200000000000002</v>
      </c>
      <c r="AD542">
        <v>-0.82599999999999996</v>
      </c>
      <c r="AE542">
        <v>-2.766</v>
      </c>
      <c r="AF542">
        <v>-3.129</v>
      </c>
      <c r="AG542">
        <v>-4.4770000000000003</v>
      </c>
      <c r="AH542">
        <v>-5.383</v>
      </c>
      <c r="AI542">
        <v>-5.5369999999999999</v>
      </c>
      <c r="AJ542">
        <v>-2.7280000000000002</v>
      </c>
      <c r="AK542">
        <v>-1.5009999999999999</v>
      </c>
      <c r="AL542">
        <v>-2.218</v>
      </c>
      <c r="AM542">
        <v>-5.1310000000000002</v>
      </c>
      <c r="AN542">
        <v>-5.88</v>
      </c>
      <c r="AO542">
        <v>-5.3120000000000003</v>
      </c>
      <c r="AP542">
        <v>-4.3929999999999998</v>
      </c>
      <c r="AQ542">
        <v>-3.2629999999999999</v>
      </c>
      <c r="AR542">
        <v>-2.851</v>
      </c>
      <c r="AS542">
        <v>-3.2559999999999998</v>
      </c>
      <c r="AT542">
        <v>-3.61</v>
      </c>
      <c r="AU542">
        <v>-3.7320000000000002</v>
      </c>
      <c r="AV542">
        <v>-3.75</v>
      </c>
      <c r="AW542">
        <v>-3.7759999999999998</v>
      </c>
    </row>
    <row r="543" spans="1:49" x14ac:dyDescent="0.35">
      <c r="A543" t="s">
        <v>206</v>
      </c>
      <c r="B543" t="s">
        <v>29</v>
      </c>
      <c r="C543" t="s">
        <v>30</v>
      </c>
      <c r="D543" t="s">
        <v>31</v>
      </c>
      <c r="E543" t="s">
        <v>32</v>
      </c>
      <c r="F543" t="s">
        <v>207</v>
      </c>
      <c r="G543">
        <v>8.1720000000000006</v>
      </c>
      <c r="H543">
        <v>9.3680000000000003</v>
      </c>
      <c r="I543">
        <v>9.4779999999999998</v>
      </c>
      <c r="J543">
        <v>9.5920000000000005</v>
      </c>
      <c r="K543">
        <v>10.183</v>
      </c>
      <c r="L543">
        <v>10.569000000000001</v>
      </c>
      <c r="M543">
        <v>11.866</v>
      </c>
      <c r="N543">
        <v>13.599</v>
      </c>
      <c r="O543">
        <v>14.492000000000001</v>
      </c>
      <c r="P543">
        <v>16.364000000000001</v>
      </c>
      <c r="Q543">
        <v>17.818000000000001</v>
      </c>
      <c r="R543">
        <v>18.213999999999999</v>
      </c>
      <c r="S543">
        <v>18.757999999999999</v>
      </c>
      <c r="T543">
        <v>19.222000000000001</v>
      </c>
      <c r="U543">
        <v>19.765999999999998</v>
      </c>
      <c r="V543">
        <v>20.564</v>
      </c>
      <c r="W543">
        <v>21.32</v>
      </c>
      <c r="X543">
        <v>21.97</v>
      </c>
      <c r="Y543">
        <v>22.521000000000001</v>
      </c>
      <c r="Z543">
        <v>23.173999999999999</v>
      </c>
      <c r="AA543">
        <v>23.771000000000001</v>
      </c>
      <c r="AB543">
        <v>24.116</v>
      </c>
      <c r="AC543">
        <v>24.975000000000001</v>
      </c>
      <c r="AD543">
        <v>26.08</v>
      </c>
      <c r="AE543">
        <v>27.048999999999999</v>
      </c>
      <c r="AF543">
        <v>28.54</v>
      </c>
      <c r="AG543">
        <v>30.016999999999999</v>
      </c>
      <c r="AH543">
        <v>31.198</v>
      </c>
      <c r="AI543">
        <v>32.067999999999998</v>
      </c>
      <c r="AJ543">
        <v>33.520000000000003</v>
      </c>
      <c r="AK543">
        <v>34.697000000000003</v>
      </c>
      <c r="AL543">
        <v>35.378999999999998</v>
      </c>
      <c r="AM543">
        <v>36.606000000000002</v>
      </c>
      <c r="AN543">
        <v>38.366999999999997</v>
      </c>
      <c r="AO543">
        <v>39.76</v>
      </c>
      <c r="AP543">
        <v>40.197000000000003</v>
      </c>
      <c r="AQ543">
        <v>40.194000000000003</v>
      </c>
      <c r="AR543">
        <v>40.295000000000002</v>
      </c>
      <c r="AS543">
        <v>39.929000000000002</v>
      </c>
      <c r="AT543">
        <v>39.963000000000001</v>
      </c>
      <c r="AU543">
        <v>40.493000000000002</v>
      </c>
      <c r="AV543">
        <v>41.277999999999999</v>
      </c>
      <c r="AW543">
        <v>42.177</v>
      </c>
    </row>
    <row r="544" spans="1:49" x14ac:dyDescent="0.35">
      <c r="A544" t="s">
        <v>206</v>
      </c>
      <c r="B544" t="s">
        <v>29</v>
      </c>
      <c r="C544" t="s">
        <v>34</v>
      </c>
      <c r="D544" t="s">
        <v>35</v>
      </c>
      <c r="F544" t="s">
        <v>36</v>
      </c>
      <c r="G544">
        <v>-3.8109999999999999</v>
      </c>
      <c r="H544">
        <v>14.641</v>
      </c>
      <c r="I544">
        <v>1.173</v>
      </c>
      <c r="J544">
        <v>1.202</v>
      </c>
      <c r="K544">
        <v>6.1619999999999999</v>
      </c>
      <c r="L544">
        <v>3.7919999999999998</v>
      </c>
      <c r="M544">
        <v>12.263999999999999</v>
      </c>
      <c r="N544">
        <v>14.606999999999999</v>
      </c>
      <c r="O544">
        <v>6.57</v>
      </c>
      <c r="P544">
        <v>12.912000000000001</v>
      </c>
      <c r="Q544">
        <v>8.8889999999999993</v>
      </c>
      <c r="R544">
        <v>2.222</v>
      </c>
      <c r="S544">
        <v>2.9870000000000001</v>
      </c>
      <c r="T544">
        <v>2.4729999999999999</v>
      </c>
      <c r="U544">
        <v>2.83</v>
      </c>
      <c r="V544">
        <v>4.04</v>
      </c>
      <c r="W544">
        <v>3.6720000000000002</v>
      </c>
      <c r="X544">
        <v>3.052</v>
      </c>
      <c r="Y544">
        <v>2.5089999999999999</v>
      </c>
      <c r="Z544">
        <v>2.899</v>
      </c>
      <c r="AA544">
        <v>2.5750000000000002</v>
      </c>
      <c r="AB544">
        <v>1.45</v>
      </c>
      <c r="AC544">
        <v>3.5619999999999998</v>
      </c>
      <c r="AD544">
        <v>4.4249999999999998</v>
      </c>
      <c r="AE544">
        <v>3.7160000000000002</v>
      </c>
      <c r="AF544">
        <v>5.5140000000000002</v>
      </c>
      <c r="AG544">
        <v>5.1749999999999998</v>
      </c>
      <c r="AH544">
        <v>3.9329999999999998</v>
      </c>
      <c r="AI544">
        <v>2.7869999999999999</v>
      </c>
      <c r="AJ544">
        <v>4.5289999999999999</v>
      </c>
      <c r="AK544">
        <v>3.512</v>
      </c>
      <c r="AL544">
        <v>1.9650000000000001</v>
      </c>
      <c r="AM544">
        <v>3.468</v>
      </c>
      <c r="AN544">
        <v>4.8109999999999999</v>
      </c>
      <c r="AO544">
        <v>3.629</v>
      </c>
      <c r="AP544">
        <v>1.099</v>
      </c>
      <c r="AQ544">
        <v>-6.0000000000000001E-3</v>
      </c>
      <c r="AR544">
        <v>0.251</v>
      </c>
      <c r="AS544">
        <v>-0.90800000000000003</v>
      </c>
      <c r="AT544">
        <v>8.5000000000000006E-2</v>
      </c>
      <c r="AU544">
        <v>1.327</v>
      </c>
      <c r="AV544">
        <v>1.9370000000000001</v>
      </c>
      <c r="AW544">
        <v>2.1779999999999999</v>
      </c>
    </row>
    <row r="545" spans="1:49" x14ac:dyDescent="0.35">
      <c r="A545" t="s">
        <v>206</v>
      </c>
      <c r="B545" t="s">
        <v>37</v>
      </c>
      <c r="C545" t="s">
        <v>38</v>
      </c>
      <c r="D545" t="s">
        <v>31</v>
      </c>
      <c r="E545" t="s">
        <v>32</v>
      </c>
      <c r="F545" t="s">
        <v>207</v>
      </c>
      <c r="G545">
        <v>0.89</v>
      </c>
      <c r="H545">
        <v>1.004</v>
      </c>
      <c r="I545">
        <v>1.1859999999999999</v>
      </c>
      <c r="J545">
        <v>1.32</v>
      </c>
      <c r="K545">
        <v>1.4730000000000001</v>
      </c>
      <c r="L545">
        <v>1.591</v>
      </c>
      <c r="M545">
        <v>1.7569999999999999</v>
      </c>
      <c r="N545">
        <v>2.093</v>
      </c>
      <c r="O545">
        <v>2.3580000000000001</v>
      </c>
      <c r="P545">
        <v>2.7410000000000001</v>
      </c>
      <c r="Q545">
        <v>3.1819999999999999</v>
      </c>
      <c r="R545">
        <v>3.5680000000000001</v>
      </c>
      <c r="S545">
        <v>4.1130000000000004</v>
      </c>
      <c r="T545">
        <v>4.8319999999999999</v>
      </c>
      <c r="U545">
        <v>5.7089999999999996</v>
      </c>
      <c r="V545">
        <v>7.0750000000000002</v>
      </c>
      <c r="W545">
        <v>7.9850000000000003</v>
      </c>
      <c r="X545">
        <v>9.1509999999999998</v>
      </c>
      <c r="Y545">
        <v>10.141999999999999</v>
      </c>
      <c r="Z545">
        <v>11.065</v>
      </c>
      <c r="AA545">
        <v>12.465</v>
      </c>
      <c r="AB545">
        <v>13.78</v>
      </c>
      <c r="AC545">
        <v>15.525</v>
      </c>
      <c r="AD545">
        <v>17.141999999999999</v>
      </c>
      <c r="AE545">
        <v>18.443000000000001</v>
      </c>
      <c r="AF545">
        <v>20.641999999999999</v>
      </c>
      <c r="AG545">
        <v>22.68</v>
      </c>
      <c r="AH545">
        <v>24.873999999999999</v>
      </c>
      <c r="AI545">
        <v>27.695</v>
      </c>
      <c r="AJ545">
        <v>30.774999999999999</v>
      </c>
      <c r="AK545">
        <v>32.935000000000002</v>
      </c>
      <c r="AL545">
        <v>35.378999999999998</v>
      </c>
      <c r="AM545">
        <v>39.034999999999997</v>
      </c>
      <c r="AN545">
        <v>42.658999999999999</v>
      </c>
      <c r="AO545">
        <v>46.646000000000001</v>
      </c>
      <c r="AP545">
        <v>50.109000000000002</v>
      </c>
      <c r="AQ545">
        <v>55.698</v>
      </c>
      <c r="AR545">
        <v>58.837000000000003</v>
      </c>
      <c r="AS545">
        <v>61.128999999999998</v>
      </c>
      <c r="AT545">
        <v>64.004000000000005</v>
      </c>
      <c r="AU545">
        <v>67.834999999999994</v>
      </c>
      <c r="AV545">
        <v>72.441999999999993</v>
      </c>
      <c r="AW545">
        <v>77.382000000000005</v>
      </c>
    </row>
    <row r="546" spans="1:49" x14ac:dyDescent="0.35">
      <c r="A546" t="s">
        <v>206</v>
      </c>
      <c r="B546" t="s">
        <v>37</v>
      </c>
      <c r="C546" t="s">
        <v>40</v>
      </c>
      <c r="D546" t="s">
        <v>41</v>
      </c>
      <c r="E546" t="s">
        <v>32</v>
      </c>
      <c r="F546" t="s">
        <v>42</v>
      </c>
      <c r="G546">
        <v>1.1419999999999999</v>
      </c>
      <c r="H546">
        <v>1.1439999999999999</v>
      </c>
      <c r="I546">
        <v>1.0920000000000001</v>
      </c>
      <c r="J546">
        <v>1.1839999999999999</v>
      </c>
      <c r="K546">
        <v>0.998</v>
      </c>
      <c r="L546">
        <v>0.71399999999999997</v>
      </c>
      <c r="M546">
        <v>0.77</v>
      </c>
      <c r="N546">
        <v>1.028</v>
      </c>
      <c r="O546">
        <v>1.038</v>
      </c>
      <c r="P546">
        <v>1.0449999999999999</v>
      </c>
      <c r="Q546">
        <v>1.23</v>
      </c>
      <c r="R546">
        <v>1.292</v>
      </c>
      <c r="S546">
        <v>1.4419999999999999</v>
      </c>
      <c r="T546">
        <v>1.4790000000000001</v>
      </c>
      <c r="U546">
        <v>1.6080000000000001</v>
      </c>
      <c r="V546">
        <v>1.9510000000000001</v>
      </c>
      <c r="W546">
        <v>1.8580000000000001</v>
      </c>
      <c r="X546">
        <v>1.986</v>
      </c>
      <c r="Y546">
        <v>1.833</v>
      </c>
      <c r="Z546">
        <v>1.81</v>
      </c>
      <c r="AA546">
        <v>1.7969999999999999</v>
      </c>
      <c r="AB546">
        <v>1.6020000000000001</v>
      </c>
      <c r="AC546">
        <v>1.476</v>
      </c>
      <c r="AD546">
        <v>2.266</v>
      </c>
      <c r="AE546">
        <v>2.859</v>
      </c>
      <c r="AF546">
        <v>3.2450000000000001</v>
      </c>
      <c r="AG546">
        <v>3.351</v>
      </c>
      <c r="AH546">
        <v>3.5259999999999998</v>
      </c>
      <c r="AI546">
        <v>3.3559999999999999</v>
      </c>
      <c r="AJ546">
        <v>3.6480000000000001</v>
      </c>
      <c r="AK546">
        <v>4.4980000000000002</v>
      </c>
      <c r="AL546">
        <v>4.8780000000000001</v>
      </c>
      <c r="AM546">
        <v>4.7549999999999999</v>
      </c>
      <c r="AN546">
        <v>4.42</v>
      </c>
      <c r="AO546">
        <v>4.3010000000000002</v>
      </c>
      <c r="AP546">
        <v>3.9289999999999998</v>
      </c>
      <c r="AQ546">
        <v>3.786</v>
      </c>
      <c r="AR546">
        <v>4.03</v>
      </c>
      <c r="AS546">
        <v>4.0190000000000001</v>
      </c>
      <c r="AT546">
        <v>4.0529999999999999</v>
      </c>
      <c r="AU546">
        <v>4.1390000000000002</v>
      </c>
      <c r="AV546">
        <v>4.2510000000000003</v>
      </c>
      <c r="AW546">
        <v>4.3630000000000004</v>
      </c>
    </row>
    <row r="547" spans="1:49" x14ac:dyDescent="0.35">
      <c r="A547" t="s">
        <v>206</v>
      </c>
      <c r="B547" t="s">
        <v>37</v>
      </c>
      <c r="C547" t="s">
        <v>43</v>
      </c>
      <c r="D547" t="s">
        <v>44</v>
      </c>
      <c r="E547" t="s">
        <v>32</v>
      </c>
      <c r="F547" t="s">
        <v>42</v>
      </c>
      <c r="G547">
        <v>0.9</v>
      </c>
      <c r="H547">
        <v>1.1279999999999999</v>
      </c>
      <c r="I547">
        <v>1.212</v>
      </c>
      <c r="J547">
        <v>1.2749999999999999</v>
      </c>
      <c r="K547">
        <v>1.4019999999999999</v>
      </c>
      <c r="L547">
        <v>1.5009999999999999</v>
      </c>
      <c r="M547">
        <v>1.72</v>
      </c>
      <c r="N547">
        <v>2.0209999999999999</v>
      </c>
      <c r="O547">
        <v>2.2290000000000001</v>
      </c>
      <c r="P547">
        <v>2.6150000000000002</v>
      </c>
      <c r="Q547">
        <v>2.9529999999999998</v>
      </c>
      <c r="R547">
        <v>3.1190000000000002</v>
      </c>
      <c r="S547">
        <v>3.2850000000000001</v>
      </c>
      <c r="T547">
        <v>3.4460000000000002</v>
      </c>
      <c r="U547">
        <v>3.6190000000000002</v>
      </c>
      <c r="V547">
        <v>3.8439999999999999</v>
      </c>
      <c r="W547">
        <v>4.0579999999999998</v>
      </c>
      <c r="X547">
        <v>4.2530000000000001</v>
      </c>
      <c r="Y547">
        <v>4.407</v>
      </c>
      <c r="Z547">
        <v>4.6050000000000004</v>
      </c>
      <c r="AA547">
        <v>4.8310000000000004</v>
      </c>
      <c r="AB547">
        <v>5.0119999999999996</v>
      </c>
      <c r="AC547">
        <v>5.2709999999999999</v>
      </c>
      <c r="AD547">
        <v>5.6130000000000004</v>
      </c>
      <c r="AE547">
        <v>5.9820000000000002</v>
      </c>
      <c r="AF547">
        <v>6.5149999999999997</v>
      </c>
      <c r="AG547">
        <v>7.0629999999999997</v>
      </c>
      <c r="AH547">
        <v>7.5359999999999996</v>
      </c>
      <c r="AI547">
        <v>7.8979999999999997</v>
      </c>
      <c r="AJ547">
        <v>8.3179999999999996</v>
      </c>
      <c r="AK547">
        <v>8.7159999999999993</v>
      </c>
      <c r="AL547">
        <v>9.07</v>
      </c>
      <c r="AM547">
        <v>9.5579999999999998</v>
      </c>
      <c r="AN547">
        <v>10.18</v>
      </c>
      <c r="AO547">
        <v>10.738</v>
      </c>
      <c r="AP547">
        <v>10.974</v>
      </c>
      <c r="AQ547">
        <v>11.113</v>
      </c>
      <c r="AR547">
        <v>11.335000000000001</v>
      </c>
      <c r="AS547">
        <v>11.45</v>
      </c>
      <c r="AT547">
        <v>11.705</v>
      </c>
      <c r="AU547">
        <v>12.109</v>
      </c>
      <c r="AV547">
        <v>12.6</v>
      </c>
      <c r="AW547">
        <v>13.122999999999999</v>
      </c>
    </row>
    <row r="548" spans="1:49" x14ac:dyDescent="0.35">
      <c r="A548" t="s">
        <v>206</v>
      </c>
      <c r="B548" t="s">
        <v>45</v>
      </c>
      <c r="C548" t="s">
        <v>46</v>
      </c>
      <c r="D548" t="s">
        <v>47</v>
      </c>
      <c r="F548" t="s">
        <v>48</v>
      </c>
      <c r="G548">
        <v>10.885999999999999</v>
      </c>
      <c r="H548">
        <v>10.718</v>
      </c>
      <c r="I548">
        <v>12.510999999999999</v>
      </c>
      <c r="J548">
        <v>13.757</v>
      </c>
      <c r="K548">
        <v>14.468</v>
      </c>
      <c r="L548">
        <v>15.048999999999999</v>
      </c>
      <c r="M548">
        <v>14.811</v>
      </c>
      <c r="N548">
        <v>15.388</v>
      </c>
      <c r="O548">
        <v>16.274000000000001</v>
      </c>
      <c r="P548">
        <v>16.751999999999999</v>
      </c>
      <c r="Q548">
        <v>17.856999999999999</v>
      </c>
      <c r="R548">
        <v>19.59</v>
      </c>
      <c r="S548">
        <v>21.928000000000001</v>
      </c>
      <c r="T548">
        <v>25.137</v>
      </c>
      <c r="U548">
        <v>28.881</v>
      </c>
      <c r="V548">
        <v>34.405999999999999</v>
      </c>
      <c r="W548">
        <v>37.453000000000003</v>
      </c>
      <c r="X548">
        <v>41.651000000000003</v>
      </c>
      <c r="Y548">
        <v>45.033000000000001</v>
      </c>
      <c r="Z548">
        <v>47.747</v>
      </c>
      <c r="AA548">
        <v>52.436999999999998</v>
      </c>
      <c r="AB548">
        <v>57.14</v>
      </c>
      <c r="AC548">
        <v>62.164000000000001</v>
      </c>
      <c r="AD548">
        <v>65.730999999999995</v>
      </c>
      <c r="AE548">
        <v>68.183000000000007</v>
      </c>
      <c r="AF548">
        <v>72.326999999999998</v>
      </c>
      <c r="AG548">
        <v>75.557000000000002</v>
      </c>
      <c r="AH548">
        <v>79.73</v>
      </c>
      <c r="AI548">
        <v>86.364000000000004</v>
      </c>
      <c r="AJ548">
        <v>91.811000000000007</v>
      </c>
      <c r="AK548">
        <v>94.921000000000006</v>
      </c>
      <c r="AL548">
        <v>100</v>
      </c>
      <c r="AM548">
        <v>106.63500000000001</v>
      </c>
      <c r="AN548">
        <v>111.18600000000001</v>
      </c>
      <c r="AO548">
        <v>117.321</v>
      </c>
      <c r="AP548">
        <v>124.66</v>
      </c>
      <c r="AQ548">
        <v>138.571</v>
      </c>
      <c r="AR548">
        <v>146.01400000000001</v>
      </c>
      <c r="AS548">
        <v>153.09299999999999</v>
      </c>
      <c r="AT548">
        <v>160.15799999999999</v>
      </c>
      <c r="AU548">
        <v>167.52</v>
      </c>
      <c r="AV548">
        <v>175.499</v>
      </c>
      <c r="AW548">
        <v>183.471</v>
      </c>
    </row>
    <row r="549" spans="1:49" x14ac:dyDescent="0.35">
      <c r="A549" t="s">
        <v>206</v>
      </c>
      <c r="B549" t="s">
        <v>49</v>
      </c>
      <c r="C549" t="s">
        <v>50</v>
      </c>
      <c r="D549" t="s">
        <v>31</v>
      </c>
      <c r="E549" t="s">
        <v>26</v>
      </c>
      <c r="F549" t="s">
        <v>51</v>
      </c>
      <c r="G549" s="27">
        <v>15010.15</v>
      </c>
      <c r="H549" s="27">
        <v>16710.96</v>
      </c>
      <c r="I549" s="27">
        <v>16430.400000000001</v>
      </c>
      <c r="J549" s="27">
        <v>16144.06</v>
      </c>
      <c r="K549" s="27">
        <v>16590.650000000001</v>
      </c>
      <c r="L549" s="27">
        <v>16603.8</v>
      </c>
      <c r="M549" s="27">
        <v>17896.93</v>
      </c>
      <c r="N549" s="27">
        <v>19639.03</v>
      </c>
      <c r="O549" s="27">
        <v>20043.03</v>
      </c>
      <c r="P549" s="27">
        <v>21750.52</v>
      </c>
      <c r="Q549" s="27">
        <v>22889.37</v>
      </c>
      <c r="R549" s="27">
        <v>22751.45</v>
      </c>
      <c r="S549" s="27">
        <v>22896.78</v>
      </c>
      <c r="T549" s="27">
        <v>23000.06</v>
      </c>
      <c r="U549" s="27">
        <v>23200.14</v>
      </c>
      <c r="V549" s="27">
        <v>23656.27</v>
      </c>
      <c r="W549" s="27">
        <v>23999.8</v>
      </c>
      <c r="X549" s="27">
        <v>24185.57</v>
      </c>
      <c r="Y549" s="27">
        <v>24263.68</v>
      </c>
      <c r="Z549" s="27">
        <v>24503.52</v>
      </c>
      <c r="AA549" s="27">
        <v>24766.79</v>
      </c>
      <c r="AB549" s="27">
        <v>24867.75</v>
      </c>
      <c r="AC549" s="27">
        <v>25576.79</v>
      </c>
      <c r="AD549" s="27">
        <v>26567.39</v>
      </c>
      <c r="AE549" s="27">
        <v>27382.720000000001</v>
      </c>
      <c r="AF549" s="27">
        <v>28634.17</v>
      </c>
      <c r="AG549" s="27">
        <v>29749.55</v>
      </c>
      <c r="AH549" s="27">
        <v>30583.24</v>
      </c>
      <c r="AI549" s="27">
        <v>31093.69</v>
      </c>
      <c r="AJ549" s="27">
        <v>32148.400000000001</v>
      </c>
      <c r="AK549" s="27">
        <v>32915.42</v>
      </c>
      <c r="AL549" s="27">
        <v>33164.19</v>
      </c>
      <c r="AM549" s="27">
        <v>33907.57</v>
      </c>
      <c r="AN549" s="27">
        <v>35117.519999999997</v>
      </c>
      <c r="AO549" s="27">
        <v>35960.46</v>
      </c>
      <c r="AP549" s="27">
        <v>35924.480000000003</v>
      </c>
      <c r="AQ549" s="27">
        <v>35496.43</v>
      </c>
      <c r="AR549" s="27">
        <v>35128.870000000003</v>
      </c>
      <c r="AS549" s="27">
        <v>34363.11</v>
      </c>
      <c r="AT549" s="27">
        <v>33950.879999999997</v>
      </c>
      <c r="AU549" s="27">
        <v>33959.89</v>
      </c>
      <c r="AV549" s="27">
        <v>34173.370000000003</v>
      </c>
      <c r="AW549" s="27">
        <v>34469.56</v>
      </c>
    </row>
    <row r="550" spans="1:49" x14ac:dyDescent="0.35">
      <c r="A550" t="s">
        <v>206</v>
      </c>
      <c r="B550" t="s">
        <v>49</v>
      </c>
      <c r="C550" t="s">
        <v>52</v>
      </c>
      <c r="D550" t="s">
        <v>53</v>
      </c>
      <c r="E550" t="s">
        <v>26</v>
      </c>
      <c r="F550" t="s">
        <v>51</v>
      </c>
      <c r="G550" s="27">
        <v>3848.28</v>
      </c>
      <c r="H550" s="27">
        <v>4284.33</v>
      </c>
      <c r="I550" s="27">
        <v>4212.3999999999996</v>
      </c>
      <c r="J550" s="27">
        <v>4138.99</v>
      </c>
      <c r="K550" s="27">
        <v>4253.4799999999996</v>
      </c>
      <c r="L550" s="27">
        <v>4256.8500000000004</v>
      </c>
      <c r="M550" s="27">
        <v>4588.3900000000003</v>
      </c>
      <c r="N550" s="27">
        <v>5035.0200000000004</v>
      </c>
      <c r="O550" s="27">
        <v>5138.6000000000004</v>
      </c>
      <c r="P550" s="27">
        <v>5576.36</v>
      </c>
      <c r="Q550" s="27">
        <v>5868.34</v>
      </c>
      <c r="R550" s="27">
        <v>5832.98</v>
      </c>
      <c r="S550" s="27">
        <v>5870.24</v>
      </c>
      <c r="T550" s="27">
        <v>5896.72</v>
      </c>
      <c r="U550" s="27">
        <v>5948.01</v>
      </c>
      <c r="V550" s="27">
        <v>6064.96</v>
      </c>
      <c r="W550" s="27">
        <v>6153.03</v>
      </c>
      <c r="X550" s="27">
        <v>6200.66</v>
      </c>
      <c r="Y550" s="27">
        <v>6220.68</v>
      </c>
      <c r="Z550" s="27">
        <v>6282.17</v>
      </c>
      <c r="AA550" s="27">
        <v>6349.67</v>
      </c>
      <c r="AB550" s="27">
        <v>6375.55</v>
      </c>
      <c r="AC550" s="27">
        <v>6557.33</v>
      </c>
      <c r="AD550" s="27">
        <v>6811.3</v>
      </c>
      <c r="AE550" s="27">
        <v>7020.34</v>
      </c>
      <c r="AF550" s="27">
        <v>7341.18</v>
      </c>
      <c r="AG550" s="27">
        <v>7627.14</v>
      </c>
      <c r="AH550" s="27">
        <v>7840.88</v>
      </c>
      <c r="AI550" s="27">
        <v>7971.75</v>
      </c>
      <c r="AJ550" s="27">
        <v>8242.15</v>
      </c>
      <c r="AK550" s="27">
        <v>8438.7999999999993</v>
      </c>
      <c r="AL550" s="27">
        <v>8502.58</v>
      </c>
      <c r="AM550" s="27">
        <v>8693.17</v>
      </c>
      <c r="AN550" s="27">
        <v>9003.3700000000008</v>
      </c>
      <c r="AO550" s="27">
        <v>9219.48</v>
      </c>
      <c r="AP550" s="27">
        <v>9210.26</v>
      </c>
      <c r="AQ550" s="27">
        <v>9100.51</v>
      </c>
      <c r="AR550" s="27">
        <v>9006.2800000000007</v>
      </c>
      <c r="AS550" s="27">
        <v>8809.9599999999991</v>
      </c>
      <c r="AT550" s="27">
        <v>8704.27</v>
      </c>
      <c r="AU550" s="27">
        <v>8706.58</v>
      </c>
      <c r="AV550" s="27">
        <v>8761.31</v>
      </c>
      <c r="AW550" s="27">
        <v>8837.25</v>
      </c>
    </row>
    <row r="551" spans="1:49" x14ac:dyDescent="0.35">
      <c r="A551" t="s">
        <v>206</v>
      </c>
      <c r="B551" t="s">
        <v>54</v>
      </c>
      <c r="C551" t="s">
        <v>55</v>
      </c>
      <c r="D551" t="s">
        <v>31</v>
      </c>
      <c r="E551" t="s">
        <v>26</v>
      </c>
      <c r="F551" t="s">
        <v>56</v>
      </c>
      <c r="G551" s="27">
        <v>1633.98</v>
      </c>
      <c r="H551" s="27">
        <v>1791.16</v>
      </c>
      <c r="I551" s="27">
        <v>2055.5500000000002</v>
      </c>
      <c r="J551" s="27">
        <v>2220.9299999999998</v>
      </c>
      <c r="K551" s="27">
        <v>2400.36</v>
      </c>
      <c r="L551" s="27">
        <v>2498.6999999999998</v>
      </c>
      <c r="M551" s="27">
        <v>2650.76</v>
      </c>
      <c r="N551" s="27">
        <v>3022.07</v>
      </c>
      <c r="O551" s="27">
        <v>3261.76</v>
      </c>
      <c r="P551" s="27">
        <v>3643.7</v>
      </c>
      <c r="Q551" s="27">
        <v>4087.25</v>
      </c>
      <c r="R551" s="27">
        <v>4457.03</v>
      </c>
      <c r="S551" s="27">
        <v>5020.8599999999997</v>
      </c>
      <c r="T551" s="27">
        <v>5781.48</v>
      </c>
      <c r="U551" s="27">
        <v>6700.37</v>
      </c>
      <c r="V551" s="27">
        <v>8139.06</v>
      </c>
      <c r="W551" s="27">
        <v>8988.7000000000007</v>
      </c>
      <c r="X551" s="27">
        <v>10073.459999999999</v>
      </c>
      <c r="Y551" s="27">
        <v>10926.65</v>
      </c>
      <c r="Z551" s="27">
        <v>11699.75</v>
      </c>
      <c r="AA551" s="27">
        <v>12987.07</v>
      </c>
      <c r="AB551" s="27">
        <v>14209.32</v>
      </c>
      <c r="AC551" s="27">
        <v>15899.68</v>
      </c>
      <c r="AD551" s="27">
        <v>17462.88</v>
      </c>
      <c r="AE551" s="27">
        <v>18670.310000000001</v>
      </c>
      <c r="AF551" s="27">
        <v>20710.23</v>
      </c>
      <c r="AG551" s="27">
        <v>22477.759999999998</v>
      </c>
      <c r="AH551" s="27">
        <v>24384.14</v>
      </c>
      <c r="AI551" s="27">
        <v>26853.79</v>
      </c>
      <c r="AJ551" s="27">
        <v>29515.77</v>
      </c>
      <c r="AK551" s="27">
        <v>31243.63</v>
      </c>
      <c r="AL551" s="27">
        <v>33164.19</v>
      </c>
      <c r="AM551" s="27">
        <v>36157.47</v>
      </c>
      <c r="AN551" s="27">
        <v>39045.71</v>
      </c>
      <c r="AO551" s="27">
        <v>42189.05</v>
      </c>
      <c r="AP551" s="27">
        <v>44783.45</v>
      </c>
      <c r="AQ551" s="27">
        <v>49187.6</v>
      </c>
      <c r="AR551" s="27">
        <v>51293.08</v>
      </c>
      <c r="AS551" s="27">
        <v>52607.47</v>
      </c>
      <c r="AT551" s="27">
        <v>54374.91</v>
      </c>
      <c r="AU551" s="27">
        <v>56889.68</v>
      </c>
      <c r="AV551" s="27">
        <v>59973.82</v>
      </c>
      <c r="AW551" s="27">
        <v>63241.47</v>
      </c>
    </row>
    <row r="552" spans="1:49" x14ac:dyDescent="0.35">
      <c r="A552" t="s">
        <v>206</v>
      </c>
      <c r="B552" t="s">
        <v>54</v>
      </c>
      <c r="C552" t="s">
        <v>57</v>
      </c>
      <c r="D552" t="s">
        <v>41</v>
      </c>
      <c r="E552" t="s">
        <v>26</v>
      </c>
      <c r="F552" t="s">
        <v>56</v>
      </c>
      <c r="G552" s="27">
        <v>2097.98</v>
      </c>
      <c r="H552" s="27">
        <v>2041.21</v>
      </c>
      <c r="I552" s="27">
        <v>1892.92</v>
      </c>
      <c r="J552" s="27">
        <v>1993.5</v>
      </c>
      <c r="K552" s="27">
        <v>1626.44</v>
      </c>
      <c r="L552" s="27">
        <v>1121.54</v>
      </c>
      <c r="M552" s="27">
        <v>1160.75</v>
      </c>
      <c r="N552" s="27">
        <v>1484.26</v>
      </c>
      <c r="O552" s="27">
        <v>1435.16</v>
      </c>
      <c r="P552" s="27">
        <v>1389.49</v>
      </c>
      <c r="Q552" s="27">
        <v>1579.46</v>
      </c>
      <c r="R552" s="27">
        <v>1614.38</v>
      </c>
      <c r="S552" s="27">
        <v>1760.63</v>
      </c>
      <c r="T552" s="27">
        <v>1769.75</v>
      </c>
      <c r="U552" s="27">
        <v>1887.69</v>
      </c>
      <c r="V552" s="27">
        <v>2243.9699999999998</v>
      </c>
      <c r="W552" s="27">
        <v>2092.06</v>
      </c>
      <c r="X552" s="27">
        <v>2186.44</v>
      </c>
      <c r="Y552" s="27">
        <v>1975.23</v>
      </c>
      <c r="Z552" s="27">
        <v>1913.86</v>
      </c>
      <c r="AA552" s="27">
        <v>1872.64</v>
      </c>
      <c r="AB552" s="27">
        <v>1651.67</v>
      </c>
      <c r="AC552" s="27">
        <v>1511.88</v>
      </c>
      <c r="AD552" s="27">
        <v>2308.4299999999998</v>
      </c>
      <c r="AE552" s="27">
        <v>2894.59</v>
      </c>
      <c r="AF552" s="27">
        <v>3255.34</v>
      </c>
      <c r="AG552" s="27">
        <v>3321.59</v>
      </c>
      <c r="AH552" s="27">
        <v>3456.58</v>
      </c>
      <c r="AI552" s="27">
        <v>3254.28</v>
      </c>
      <c r="AJ552" s="27">
        <v>3498.34</v>
      </c>
      <c r="AK552" s="27">
        <v>4267.04</v>
      </c>
      <c r="AL552" s="27">
        <v>4572.43</v>
      </c>
      <c r="AM552" s="27">
        <v>4404.12</v>
      </c>
      <c r="AN552" s="27">
        <v>4046.01</v>
      </c>
      <c r="AO552" s="27">
        <v>3890.36</v>
      </c>
      <c r="AP552" s="27">
        <v>3511.76</v>
      </c>
      <c r="AQ552" s="27">
        <v>3343.14</v>
      </c>
      <c r="AR552" s="27">
        <v>3513.22</v>
      </c>
      <c r="AS552" s="27">
        <v>3458.89</v>
      </c>
      <c r="AT552" s="27">
        <v>3443.18</v>
      </c>
      <c r="AU552" s="27">
        <v>3471.14</v>
      </c>
      <c r="AV552" s="27">
        <v>3519.72</v>
      </c>
      <c r="AW552" s="27">
        <v>3565.39</v>
      </c>
    </row>
    <row r="553" spans="1:49" x14ac:dyDescent="0.35">
      <c r="A553" t="s">
        <v>206</v>
      </c>
      <c r="B553" t="s">
        <v>54</v>
      </c>
      <c r="C553" t="s">
        <v>58</v>
      </c>
      <c r="D553" t="s">
        <v>44</v>
      </c>
      <c r="E553" t="s">
        <v>26</v>
      </c>
      <c r="F553" t="s">
        <v>56</v>
      </c>
      <c r="G553" s="27">
        <v>1653.01</v>
      </c>
      <c r="H553" s="27">
        <v>2012.14</v>
      </c>
      <c r="I553" s="27">
        <v>2101.11</v>
      </c>
      <c r="J553" s="27">
        <v>2145.9899999999998</v>
      </c>
      <c r="K553" s="27">
        <v>2283.62</v>
      </c>
      <c r="L553" s="27">
        <v>2358.56</v>
      </c>
      <c r="M553" s="27">
        <v>2593.5100000000002</v>
      </c>
      <c r="N553" s="27">
        <v>2918.6</v>
      </c>
      <c r="O553" s="27">
        <v>3082.9</v>
      </c>
      <c r="P553" s="27">
        <v>3475.63</v>
      </c>
      <c r="Q553" s="27">
        <v>3792.9</v>
      </c>
      <c r="R553" s="27">
        <v>3895.53</v>
      </c>
      <c r="S553" s="27">
        <v>4009.79</v>
      </c>
      <c r="T553" s="27">
        <v>4123.7</v>
      </c>
      <c r="U553" s="27">
        <v>4248.1000000000004</v>
      </c>
      <c r="V553" s="27">
        <v>4421.96</v>
      </c>
      <c r="W553" s="27">
        <v>4568.05</v>
      </c>
      <c r="X553" s="27">
        <v>4682.2299999999996</v>
      </c>
      <c r="Y553" s="27">
        <v>4748.32</v>
      </c>
      <c r="Z553" s="27">
        <v>4868.6499999999996</v>
      </c>
      <c r="AA553" s="27">
        <v>5032.92</v>
      </c>
      <c r="AB553" s="27">
        <v>5168.6099999999997</v>
      </c>
      <c r="AC553" s="27">
        <v>5397.59</v>
      </c>
      <c r="AD553" s="27">
        <v>5718.43</v>
      </c>
      <c r="AE553" s="27">
        <v>6056</v>
      </c>
      <c r="AF553" s="27">
        <v>6536.52</v>
      </c>
      <c r="AG553" s="27">
        <v>6999.81</v>
      </c>
      <c r="AH553" s="27">
        <v>7387.45</v>
      </c>
      <c r="AI553" s="27">
        <v>7658.08</v>
      </c>
      <c r="AJ553" s="27">
        <v>7977.98</v>
      </c>
      <c r="AK553" s="27">
        <v>8268.1200000000008</v>
      </c>
      <c r="AL553" s="27">
        <v>8502.58</v>
      </c>
      <c r="AM553" s="27">
        <v>8853.2999999999993</v>
      </c>
      <c r="AN553" s="27">
        <v>9317.2999999999993</v>
      </c>
      <c r="AO553" s="27">
        <v>9712.18</v>
      </c>
      <c r="AP553" s="27">
        <v>9807.67</v>
      </c>
      <c r="AQ553" s="27">
        <v>9814.4500000000007</v>
      </c>
      <c r="AR553" s="27">
        <v>9882.0300000000007</v>
      </c>
      <c r="AS553" s="27">
        <v>9854.24</v>
      </c>
      <c r="AT553" s="27">
        <v>9943.7900000000009</v>
      </c>
      <c r="AU553" s="27">
        <v>10155.64</v>
      </c>
      <c r="AV553" s="27">
        <v>10431.73</v>
      </c>
      <c r="AW553" s="27">
        <v>10724.61</v>
      </c>
    </row>
    <row r="554" spans="1:49" x14ac:dyDescent="0.35">
      <c r="A554" t="s">
        <v>206</v>
      </c>
      <c r="B554" t="s">
        <v>59</v>
      </c>
      <c r="C554" t="s">
        <v>60</v>
      </c>
      <c r="D554" t="s">
        <v>61</v>
      </c>
    </row>
    <row r="555" spans="1:49" x14ac:dyDescent="0.35">
      <c r="A555" t="s">
        <v>206</v>
      </c>
      <c r="B555" t="s">
        <v>62</v>
      </c>
      <c r="C555" t="s">
        <v>63</v>
      </c>
      <c r="D555" t="s">
        <v>64</v>
      </c>
      <c r="F555" t="s">
        <v>42</v>
      </c>
      <c r="G555">
        <v>7.0000000000000001E-3</v>
      </c>
      <c r="H555">
        <v>8.0000000000000002E-3</v>
      </c>
      <c r="I555">
        <v>8.0000000000000002E-3</v>
      </c>
      <c r="J555">
        <v>8.0000000000000002E-3</v>
      </c>
      <c r="K555">
        <v>8.0000000000000002E-3</v>
      </c>
      <c r="L555">
        <v>8.0000000000000002E-3</v>
      </c>
      <c r="M555">
        <v>8.0000000000000002E-3</v>
      </c>
      <c r="N555">
        <v>8.9999999999999993E-3</v>
      </c>
      <c r="O555">
        <v>0.01</v>
      </c>
      <c r="P555">
        <v>0.01</v>
      </c>
      <c r="Q555">
        <v>1.0999999999999999E-2</v>
      </c>
      <c r="R555">
        <v>1.0999999999999999E-2</v>
      </c>
      <c r="S555">
        <v>0.01</v>
      </c>
      <c r="T555">
        <v>0.01</v>
      </c>
      <c r="U555">
        <v>0.01</v>
      </c>
      <c r="V555">
        <v>0.01</v>
      </c>
      <c r="W555">
        <v>0.01</v>
      </c>
      <c r="X555">
        <v>0.01</v>
      </c>
      <c r="Y555">
        <v>0.01</v>
      </c>
      <c r="Z555">
        <v>0.01</v>
      </c>
      <c r="AA555">
        <v>0.01</v>
      </c>
      <c r="AB555">
        <v>0.01</v>
      </c>
      <c r="AC555">
        <v>0.01</v>
      </c>
      <c r="AD555">
        <v>0.01</v>
      </c>
      <c r="AE555">
        <v>0.01</v>
      </c>
      <c r="AF555">
        <v>0.01</v>
      </c>
      <c r="AG555">
        <v>0.01</v>
      </c>
      <c r="AH555">
        <v>8.9999999999999993E-3</v>
      </c>
      <c r="AI555">
        <v>8.9999999999999993E-3</v>
      </c>
      <c r="AJ555">
        <v>0.01</v>
      </c>
      <c r="AK555">
        <v>0.01</v>
      </c>
      <c r="AL555">
        <v>0.01</v>
      </c>
      <c r="AM555">
        <v>0.01</v>
      </c>
      <c r="AN555">
        <v>0.01</v>
      </c>
      <c r="AO555">
        <v>0.01</v>
      </c>
      <c r="AP555">
        <v>0.01</v>
      </c>
      <c r="AQ555">
        <v>8.9999999999999993E-3</v>
      </c>
      <c r="AR555">
        <v>8.9999999999999993E-3</v>
      </c>
      <c r="AS555">
        <v>8.9999999999999993E-3</v>
      </c>
      <c r="AT555">
        <v>8.0000000000000002E-3</v>
      </c>
      <c r="AU555">
        <v>8.0000000000000002E-3</v>
      </c>
      <c r="AV555">
        <v>8.0000000000000002E-3</v>
      </c>
      <c r="AW555">
        <v>8.0000000000000002E-3</v>
      </c>
    </row>
    <row r="556" spans="1:49" x14ac:dyDescent="0.35">
      <c r="A556" t="s">
        <v>206</v>
      </c>
      <c r="B556" t="s">
        <v>65</v>
      </c>
      <c r="C556" t="s">
        <v>66</v>
      </c>
      <c r="D556" t="s">
        <v>67</v>
      </c>
      <c r="F556" t="s">
        <v>42</v>
      </c>
      <c r="G556">
        <v>0.98799999999999999</v>
      </c>
      <c r="H556">
        <v>0.89</v>
      </c>
      <c r="I556">
        <v>0.97799999999999998</v>
      </c>
      <c r="J556">
        <v>1.0349999999999999</v>
      </c>
      <c r="K556">
        <v>1.0509999999999999</v>
      </c>
      <c r="L556">
        <v>1.0589999999999999</v>
      </c>
      <c r="M556">
        <v>1.022</v>
      </c>
      <c r="N556">
        <v>1.0349999999999999</v>
      </c>
      <c r="O556">
        <v>1.0580000000000001</v>
      </c>
      <c r="P556">
        <v>1.048</v>
      </c>
      <c r="Q556">
        <v>1.0780000000000001</v>
      </c>
      <c r="R556">
        <v>1.1439999999999999</v>
      </c>
      <c r="S556">
        <v>1.252</v>
      </c>
      <c r="T556">
        <v>1.4019999999999999</v>
      </c>
      <c r="U556">
        <v>1.577</v>
      </c>
      <c r="V556">
        <v>1.841</v>
      </c>
      <c r="W556">
        <v>1.968</v>
      </c>
      <c r="X556">
        <v>2.1509999999999998</v>
      </c>
      <c r="Y556">
        <v>2.3010000000000002</v>
      </c>
      <c r="Z556">
        <v>2.403</v>
      </c>
      <c r="AA556">
        <v>2.58</v>
      </c>
      <c r="AB556">
        <v>2.7490000000000001</v>
      </c>
      <c r="AC556">
        <v>2.9460000000000002</v>
      </c>
      <c r="AD556">
        <v>3.0539999999999998</v>
      </c>
      <c r="AE556">
        <v>3.0830000000000002</v>
      </c>
      <c r="AF556">
        <v>3.1680000000000001</v>
      </c>
      <c r="AG556">
        <v>3.2109999999999999</v>
      </c>
      <c r="AH556">
        <v>3.3010000000000002</v>
      </c>
      <c r="AI556">
        <v>3.5070000000000001</v>
      </c>
      <c r="AJ556">
        <v>3.7</v>
      </c>
      <c r="AK556">
        <v>3.7789999999999999</v>
      </c>
      <c r="AL556">
        <v>3.9</v>
      </c>
      <c r="AM556">
        <v>4.0839999999999996</v>
      </c>
      <c r="AN556">
        <v>4.1909999999999998</v>
      </c>
      <c r="AO556">
        <v>4.3440000000000003</v>
      </c>
      <c r="AP556">
        <v>4.5659999999999998</v>
      </c>
      <c r="AQ556">
        <v>5.0119999999999996</v>
      </c>
      <c r="AR556">
        <v>5.1909999999999998</v>
      </c>
      <c r="AS556">
        <v>5.3390000000000004</v>
      </c>
      <c r="AT556">
        <v>5.468</v>
      </c>
      <c r="AU556">
        <v>5.6020000000000003</v>
      </c>
      <c r="AV556">
        <v>5.7489999999999997</v>
      </c>
      <c r="AW556">
        <v>5.8970000000000002</v>
      </c>
    </row>
    <row r="557" spans="1:49" x14ac:dyDescent="0.35">
      <c r="A557" t="s">
        <v>206</v>
      </c>
      <c r="B557" t="s">
        <v>68</v>
      </c>
      <c r="C557" t="s">
        <v>69</v>
      </c>
      <c r="D557" t="s">
        <v>70</v>
      </c>
      <c r="F557" t="s">
        <v>207</v>
      </c>
      <c r="G557">
        <v>52.26</v>
      </c>
      <c r="H557">
        <v>43.192</v>
      </c>
      <c r="I557">
        <v>40.430999999999997</v>
      </c>
      <c r="J557">
        <v>46.722999999999999</v>
      </c>
      <c r="K557">
        <v>42.295000000000002</v>
      </c>
      <c r="L557">
        <v>37.880000000000003</v>
      </c>
      <c r="M557">
        <v>30.126000000000001</v>
      </c>
      <c r="N557">
        <v>27.05</v>
      </c>
      <c r="O557">
        <v>45.201000000000001</v>
      </c>
      <c r="P557">
        <v>46.070999999999998</v>
      </c>
      <c r="Q557">
        <v>39.357999999999997</v>
      </c>
      <c r="R557">
        <v>39.488</v>
      </c>
      <c r="S557">
        <v>39.32</v>
      </c>
      <c r="T557">
        <v>35.957999999999998</v>
      </c>
      <c r="U557">
        <v>34.969000000000001</v>
      </c>
      <c r="V557">
        <v>28.757999999999999</v>
      </c>
      <c r="W557">
        <v>29.143000000000001</v>
      </c>
      <c r="X557">
        <v>28.27</v>
      </c>
      <c r="Y557">
        <v>40.252000000000002</v>
      </c>
      <c r="Z557">
        <v>28.940999999999999</v>
      </c>
      <c r="AA557">
        <v>22.785</v>
      </c>
      <c r="AB557">
        <v>22.838000000000001</v>
      </c>
      <c r="AC557">
        <v>20.824999999999999</v>
      </c>
      <c r="AD557">
        <v>18.710999999999999</v>
      </c>
      <c r="AE557">
        <v>18.798999999999999</v>
      </c>
      <c r="AF557">
        <v>16.992999999999999</v>
      </c>
      <c r="AG557">
        <v>16.192</v>
      </c>
      <c r="AH557">
        <v>15.765000000000001</v>
      </c>
      <c r="AI557">
        <v>15.428000000000001</v>
      </c>
      <c r="AJ557">
        <v>15.166</v>
      </c>
      <c r="AK557">
        <v>14.292999999999999</v>
      </c>
      <c r="AL557">
        <v>12.760999999999999</v>
      </c>
      <c r="AM557">
        <v>12.08</v>
      </c>
      <c r="AN557">
        <v>12.669</v>
      </c>
      <c r="AO557">
        <v>12.872999999999999</v>
      </c>
      <c r="AP557">
        <v>12.169</v>
      </c>
      <c r="AQ557">
        <v>12.148999999999999</v>
      </c>
      <c r="AR557">
        <v>12.196999999999999</v>
      </c>
      <c r="AS557">
        <v>12.638999999999999</v>
      </c>
      <c r="AT557">
        <v>13.204000000000001</v>
      </c>
      <c r="AU557">
        <v>13.125</v>
      </c>
      <c r="AV557">
        <v>12.803000000000001</v>
      </c>
      <c r="AW557">
        <v>12.45</v>
      </c>
    </row>
    <row r="558" spans="1:49" x14ac:dyDescent="0.35">
      <c r="A558" t="s">
        <v>206</v>
      </c>
      <c r="B558" t="s">
        <v>71</v>
      </c>
      <c r="C558" t="s">
        <v>72</v>
      </c>
      <c r="D558" t="s">
        <v>70</v>
      </c>
      <c r="F558" t="s">
        <v>207</v>
      </c>
      <c r="G558">
        <v>12.624000000000001</v>
      </c>
      <c r="H558">
        <v>8.3849999999999998</v>
      </c>
      <c r="I558">
        <v>4.4370000000000003</v>
      </c>
      <c r="J558">
        <v>6.335</v>
      </c>
      <c r="K558">
        <v>6.4550000000000001</v>
      </c>
      <c r="L558">
        <v>7.8540000000000001</v>
      </c>
      <c r="M558">
        <v>13.047000000000001</v>
      </c>
      <c r="N558">
        <v>14.833</v>
      </c>
      <c r="O558">
        <v>24.867999999999999</v>
      </c>
      <c r="P558">
        <v>23.332000000000001</v>
      </c>
      <c r="Q558">
        <v>29.981999999999999</v>
      </c>
      <c r="R558">
        <v>29.672000000000001</v>
      </c>
      <c r="S558">
        <v>20.646999999999998</v>
      </c>
      <c r="T558">
        <v>16.119</v>
      </c>
      <c r="U558">
        <v>23.178999999999998</v>
      </c>
      <c r="V558">
        <v>15.212999999999999</v>
      </c>
      <c r="W558">
        <v>12.411</v>
      </c>
      <c r="X558">
        <v>16.335000000000001</v>
      </c>
      <c r="Y558">
        <v>14.414999999999999</v>
      </c>
      <c r="Z558">
        <v>12.215</v>
      </c>
      <c r="AA558">
        <v>21.151</v>
      </c>
      <c r="AB558">
        <v>25.204000000000001</v>
      </c>
      <c r="AC558">
        <v>21.571999999999999</v>
      </c>
      <c r="AD558">
        <v>20.218</v>
      </c>
      <c r="AE558">
        <v>14.276</v>
      </c>
      <c r="AF558">
        <v>17.832999999999998</v>
      </c>
      <c r="AG558">
        <v>14.07</v>
      </c>
      <c r="AH558">
        <v>17.259</v>
      </c>
      <c r="AI558">
        <v>12.32</v>
      </c>
      <c r="AJ558">
        <v>6.359</v>
      </c>
      <c r="AK558">
        <v>3.1789999999999998</v>
      </c>
      <c r="AL558">
        <v>7.5830000000000002</v>
      </c>
      <c r="AM558">
        <v>15.318</v>
      </c>
      <c r="AN558">
        <v>13.728999999999999</v>
      </c>
      <c r="AO558">
        <v>11.557</v>
      </c>
      <c r="AP558">
        <v>22.994</v>
      </c>
      <c r="AQ558">
        <v>12.827</v>
      </c>
      <c r="AR558">
        <v>11.093</v>
      </c>
      <c r="AS558">
        <v>12.882</v>
      </c>
      <c r="AT558">
        <v>14.875</v>
      </c>
      <c r="AU558">
        <v>14.839</v>
      </c>
      <c r="AV558">
        <v>13.903</v>
      </c>
      <c r="AW558">
        <v>13.707000000000001</v>
      </c>
    </row>
    <row r="559" spans="1:49" x14ac:dyDescent="0.35">
      <c r="A559" t="s">
        <v>206</v>
      </c>
      <c r="B559" t="s">
        <v>73</v>
      </c>
      <c r="C559" t="s">
        <v>74</v>
      </c>
      <c r="D559" t="s">
        <v>47</v>
      </c>
      <c r="F559" t="s">
        <v>208</v>
      </c>
      <c r="G559">
        <v>10.66</v>
      </c>
      <c r="H559">
        <v>12.798</v>
      </c>
      <c r="I559">
        <v>14.182</v>
      </c>
      <c r="J559">
        <v>15.821999999999999</v>
      </c>
      <c r="K559">
        <v>17.869</v>
      </c>
      <c r="L559">
        <v>21.526</v>
      </c>
      <c r="M559">
        <v>24.483000000000001</v>
      </c>
      <c r="N559">
        <v>27.757999999999999</v>
      </c>
      <c r="O559">
        <v>33.418999999999997</v>
      </c>
      <c r="P559">
        <v>35.941000000000003</v>
      </c>
      <c r="Q559">
        <v>40.646999999999998</v>
      </c>
      <c r="R559">
        <v>44.277999999999999</v>
      </c>
      <c r="S559">
        <v>47.625</v>
      </c>
      <c r="T559">
        <v>53.350999999999999</v>
      </c>
      <c r="U559">
        <v>60.697000000000003</v>
      </c>
      <c r="V559">
        <v>68.156000000000006</v>
      </c>
      <c r="W559">
        <v>72.534999999999997</v>
      </c>
      <c r="X559">
        <v>77.703000000000003</v>
      </c>
      <c r="Y559">
        <v>84.004999999999995</v>
      </c>
      <c r="Z559">
        <v>89.12</v>
      </c>
      <c r="AA559">
        <v>100</v>
      </c>
      <c r="AB559">
        <v>105.94199999999999</v>
      </c>
      <c r="AC559">
        <v>118.676</v>
      </c>
      <c r="AD559">
        <v>127.328</v>
      </c>
      <c r="AE559">
        <v>131.714</v>
      </c>
      <c r="AF559">
        <v>134.02099999999999</v>
      </c>
      <c r="AG559">
        <v>140.99</v>
      </c>
      <c r="AH559">
        <v>152.37700000000001</v>
      </c>
      <c r="AI559">
        <v>171.66399999999999</v>
      </c>
      <c r="AJ559">
        <v>184.45</v>
      </c>
      <c r="AK559">
        <v>192.767</v>
      </c>
      <c r="AL559">
        <v>204.54</v>
      </c>
      <c r="AM559">
        <v>222.82499999999999</v>
      </c>
      <c r="AN559">
        <v>235.34700000000001</v>
      </c>
      <c r="AO559">
        <v>248.721</v>
      </c>
      <c r="AP559">
        <v>261.05700000000002</v>
      </c>
      <c r="AQ559">
        <v>282.02699999999999</v>
      </c>
      <c r="AR559">
        <v>301.71600000000001</v>
      </c>
      <c r="AS559">
        <v>317.86200000000002</v>
      </c>
      <c r="AT559">
        <v>334.96800000000002</v>
      </c>
      <c r="AU559">
        <v>353.53800000000001</v>
      </c>
      <c r="AV559">
        <v>372.952</v>
      </c>
      <c r="AW559">
        <v>393.529</v>
      </c>
    </row>
    <row r="560" spans="1:49" x14ac:dyDescent="0.35">
      <c r="A560" t="s">
        <v>206</v>
      </c>
      <c r="B560" t="s">
        <v>73</v>
      </c>
      <c r="C560" t="s">
        <v>76</v>
      </c>
      <c r="D560" t="s">
        <v>35</v>
      </c>
      <c r="F560" t="s">
        <v>77</v>
      </c>
      <c r="G560">
        <v>18.2</v>
      </c>
      <c r="H560">
        <v>20.056000000000001</v>
      </c>
      <c r="I560">
        <v>10.807</v>
      </c>
      <c r="J560">
        <v>11.568</v>
      </c>
      <c r="K560">
        <v>12.94</v>
      </c>
      <c r="L560">
        <v>20.463000000000001</v>
      </c>
      <c r="M560">
        <v>13.737</v>
      </c>
      <c r="N560">
        <v>13.377000000000001</v>
      </c>
      <c r="O560">
        <v>20.395</v>
      </c>
      <c r="P560">
        <v>7.5460000000000003</v>
      </c>
      <c r="Q560">
        <v>13.092000000000001</v>
      </c>
      <c r="R560">
        <v>8.9339999999999993</v>
      </c>
      <c r="S560">
        <v>7.5579999999999998</v>
      </c>
      <c r="T560">
        <v>12.023</v>
      </c>
      <c r="U560">
        <v>13.769</v>
      </c>
      <c r="V560">
        <v>12.289</v>
      </c>
      <c r="W560">
        <v>6.4249999999999998</v>
      </c>
      <c r="X560">
        <v>7.125</v>
      </c>
      <c r="Y560">
        <v>8.11</v>
      </c>
      <c r="Z560">
        <v>6.0890000000000004</v>
      </c>
      <c r="AA560">
        <v>12.209</v>
      </c>
      <c r="AB560">
        <v>5.9420000000000002</v>
      </c>
      <c r="AC560">
        <v>12.02</v>
      </c>
      <c r="AD560">
        <v>7.29</v>
      </c>
      <c r="AE560">
        <v>3.4449999999999998</v>
      </c>
      <c r="AF560">
        <v>1.7509999999999999</v>
      </c>
      <c r="AG560">
        <v>5.2</v>
      </c>
      <c r="AH560">
        <v>8.0760000000000005</v>
      </c>
      <c r="AI560">
        <v>12.657</v>
      </c>
      <c r="AJ560">
        <v>7.4480000000000004</v>
      </c>
      <c r="AK560">
        <v>4.5090000000000003</v>
      </c>
      <c r="AL560">
        <v>6.1070000000000002</v>
      </c>
      <c r="AM560">
        <v>8.94</v>
      </c>
      <c r="AN560">
        <v>5.62</v>
      </c>
      <c r="AO560">
        <v>5.6829999999999998</v>
      </c>
      <c r="AP560">
        <v>4.96</v>
      </c>
      <c r="AQ560">
        <v>8.0329999999999995</v>
      </c>
      <c r="AR560">
        <v>6.9809999999999999</v>
      </c>
      <c r="AS560">
        <v>5.351</v>
      </c>
      <c r="AT560">
        <v>5.3819999999999997</v>
      </c>
      <c r="AU560">
        <v>5.5439999999999996</v>
      </c>
      <c r="AV560">
        <v>5.4909999999999997</v>
      </c>
      <c r="AW560">
        <v>5.5170000000000003</v>
      </c>
    </row>
    <row r="561" spans="1:49" x14ac:dyDescent="0.35">
      <c r="A561" t="s">
        <v>206</v>
      </c>
      <c r="B561" t="s">
        <v>78</v>
      </c>
      <c r="C561" t="s">
        <v>79</v>
      </c>
      <c r="D561" t="s">
        <v>47</v>
      </c>
      <c r="F561" t="s">
        <v>208</v>
      </c>
      <c r="G561">
        <v>11.827999999999999</v>
      </c>
      <c r="H561">
        <v>13.532</v>
      </c>
      <c r="I561">
        <v>15.093999999999999</v>
      </c>
      <c r="J561">
        <v>16.696999999999999</v>
      </c>
      <c r="K561">
        <v>19.811</v>
      </c>
      <c r="L561">
        <v>23.419</v>
      </c>
      <c r="M561">
        <v>25.501999999999999</v>
      </c>
      <c r="N561">
        <v>29.646999999999998</v>
      </c>
      <c r="O561">
        <v>34.939</v>
      </c>
      <c r="P561">
        <v>37.957999999999998</v>
      </c>
      <c r="Q561">
        <v>42.128</v>
      </c>
      <c r="R561">
        <v>46.154000000000003</v>
      </c>
      <c r="S561">
        <v>50.107999999999997</v>
      </c>
      <c r="T561">
        <v>56.722000000000001</v>
      </c>
      <c r="U561">
        <v>64.558000000000007</v>
      </c>
      <c r="V561">
        <v>71.099999999999994</v>
      </c>
      <c r="W561">
        <v>75.197999999999993</v>
      </c>
      <c r="X561">
        <v>80.876999999999995</v>
      </c>
      <c r="Y561">
        <v>87.203000000000003</v>
      </c>
      <c r="Z561">
        <v>91.661000000000001</v>
      </c>
      <c r="AA561">
        <v>100</v>
      </c>
      <c r="AB561">
        <v>110.78400000000001</v>
      </c>
      <c r="AC561">
        <v>123.508</v>
      </c>
      <c r="AD561">
        <v>129.26</v>
      </c>
      <c r="AE561">
        <v>133.429</v>
      </c>
      <c r="AF561">
        <v>143.57</v>
      </c>
      <c r="AG561">
        <v>150.459</v>
      </c>
      <c r="AH561">
        <v>165.21700000000001</v>
      </c>
      <c r="AI561">
        <v>186.53700000000001</v>
      </c>
      <c r="AJ561">
        <v>194.93299999999999</v>
      </c>
      <c r="AK561">
        <v>203.70500000000001</v>
      </c>
      <c r="AL561">
        <v>219.51900000000001</v>
      </c>
      <c r="AM561">
        <v>237.66300000000001</v>
      </c>
      <c r="AN561">
        <v>248.12</v>
      </c>
      <c r="AO561">
        <v>263.47500000000002</v>
      </c>
      <c r="AP561">
        <v>276.46800000000002</v>
      </c>
      <c r="AQ561">
        <v>301.21800000000002</v>
      </c>
      <c r="AR561">
        <v>320.798</v>
      </c>
      <c r="AS561">
        <v>334.91300000000001</v>
      </c>
      <c r="AT561">
        <v>355.67700000000002</v>
      </c>
      <c r="AU561">
        <v>373.46100000000001</v>
      </c>
      <c r="AV561">
        <v>395.495</v>
      </c>
      <c r="AW561">
        <v>416.06099999999998</v>
      </c>
    </row>
    <row r="562" spans="1:49" x14ac:dyDescent="0.35">
      <c r="A562" t="s">
        <v>206</v>
      </c>
      <c r="B562" t="s">
        <v>78</v>
      </c>
      <c r="C562" t="s">
        <v>80</v>
      </c>
      <c r="D562" t="s">
        <v>35</v>
      </c>
      <c r="F562" t="s">
        <v>81</v>
      </c>
      <c r="G562" t="s">
        <v>82</v>
      </c>
      <c r="H562">
        <v>14.41</v>
      </c>
      <c r="I562">
        <v>11.538</v>
      </c>
      <c r="J562">
        <v>10.625999999999999</v>
      </c>
      <c r="K562">
        <v>18.649999999999999</v>
      </c>
      <c r="L562">
        <v>18.210999999999999</v>
      </c>
      <c r="M562">
        <v>8.8949999999999996</v>
      </c>
      <c r="N562">
        <v>16.253</v>
      </c>
      <c r="O562">
        <v>17.849</v>
      </c>
      <c r="P562">
        <v>8.6419999999999995</v>
      </c>
      <c r="Q562">
        <v>10.984999999999999</v>
      </c>
      <c r="R562">
        <v>9.5559999999999992</v>
      </c>
      <c r="S562">
        <v>8.5670000000000002</v>
      </c>
      <c r="T562">
        <v>13.199</v>
      </c>
      <c r="U562">
        <v>13.815</v>
      </c>
      <c r="V562">
        <v>10.134</v>
      </c>
      <c r="W562">
        <v>5.7629999999999999</v>
      </c>
      <c r="X562">
        <v>7.5529999999999999</v>
      </c>
      <c r="Y562">
        <v>7.8220000000000001</v>
      </c>
      <c r="Z562">
        <v>5.1109999999999998</v>
      </c>
      <c r="AA562">
        <v>9.0980000000000008</v>
      </c>
      <c r="AB562">
        <v>10.784000000000001</v>
      </c>
      <c r="AC562">
        <v>11.486000000000001</v>
      </c>
      <c r="AD562">
        <v>4.657</v>
      </c>
      <c r="AE562">
        <v>3.226</v>
      </c>
      <c r="AF562">
        <v>7.6</v>
      </c>
      <c r="AG562">
        <v>4.7990000000000004</v>
      </c>
      <c r="AH562">
        <v>9.8079999999999998</v>
      </c>
      <c r="AI562">
        <v>12.904</v>
      </c>
      <c r="AJ562">
        <v>4.5010000000000003</v>
      </c>
      <c r="AK562">
        <v>4.5</v>
      </c>
      <c r="AL562">
        <v>7.7629999999999999</v>
      </c>
      <c r="AM562">
        <v>8.2650000000000006</v>
      </c>
      <c r="AN562">
        <v>4.4000000000000004</v>
      </c>
      <c r="AO562">
        <v>6.1879999999999997</v>
      </c>
      <c r="AP562">
        <v>4.931</v>
      </c>
      <c r="AQ562">
        <v>8.952</v>
      </c>
      <c r="AR562">
        <v>6.5</v>
      </c>
      <c r="AS562">
        <v>4.4000000000000004</v>
      </c>
      <c r="AT562">
        <v>6.2</v>
      </c>
      <c r="AU562">
        <v>5</v>
      </c>
      <c r="AV562">
        <v>5.9</v>
      </c>
      <c r="AW562">
        <v>5.2</v>
      </c>
    </row>
    <row r="563" spans="1:49" x14ac:dyDescent="0.35">
      <c r="A563" t="s">
        <v>206</v>
      </c>
      <c r="B563" t="s">
        <v>83</v>
      </c>
      <c r="D563" t="s">
        <v>64</v>
      </c>
    </row>
    <row r="564" spans="1:49" x14ac:dyDescent="0.35">
      <c r="A564" t="s">
        <v>206</v>
      </c>
      <c r="B564" t="s">
        <v>84</v>
      </c>
      <c r="C564" t="s">
        <v>85</v>
      </c>
      <c r="D564" t="s">
        <v>35</v>
      </c>
      <c r="F564" t="s">
        <v>209</v>
      </c>
      <c r="G564">
        <v>13.4</v>
      </c>
      <c r="H564">
        <v>3.5920000000000001</v>
      </c>
      <c r="I564">
        <v>-5.9180000000000001</v>
      </c>
      <c r="J564">
        <v>5.3049999999999997</v>
      </c>
      <c r="K564">
        <v>-15.064</v>
      </c>
      <c r="L564">
        <v>-26.815999999999999</v>
      </c>
      <c r="M564">
        <v>-5.54</v>
      </c>
      <c r="N564">
        <v>16.739000000000001</v>
      </c>
      <c r="O564">
        <v>10.141</v>
      </c>
      <c r="P564">
        <v>7.718</v>
      </c>
      <c r="Q564">
        <v>14.333</v>
      </c>
      <c r="R564">
        <v>8.3810000000000002</v>
      </c>
      <c r="S564">
        <v>17.161999999999999</v>
      </c>
      <c r="T564">
        <v>11.696999999999999</v>
      </c>
      <c r="U564">
        <v>-3.1760000000000002</v>
      </c>
      <c r="V564">
        <v>11.17</v>
      </c>
      <c r="W564">
        <v>2.87</v>
      </c>
      <c r="X564">
        <v>8.5220000000000002</v>
      </c>
      <c r="Y564">
        <v>9.6280000000000001</v>
      </c>
      <c r="Z564">
        <v>-7.9669999999999996</v>
      </c>
      <c r="AA564">
        <v>1.901</v>
      </c>
      <c r="AB564">
        <v>-3.6019999999999999</v>
      </c>
      <c r="AC564">
        <v>-9.2230000000000008</v>
      </c>
      <c r="AD564">
        <v>47.255000000000003</v>
      </c>
      <c r="AE564">
        <v>-4.1059999999999999</v>
      </c>
      <c r="AF564">
        <v>-2.6819999999999999</v>
      </c>
      <c r="AG564">
        <v>-2.4660000000000002</v>
      </c>
      <c r="AH564">
        <v>6.54</v>
      </c>
      <c r="AI564">
        <v>-15.382</v>
      </c>
      <c r="AJ564">
        <v>5.96</v>
      </c>
      <c r="AK564">
        <v>-9.5009999999999994</v>
      </c>
      <c r="AL564">
        <v>12.180999999999999</v>
      </c>
      <c r="AM564">
        <v>-10.208</v>
      </c>
      <c r="AN564">
        <v>-5.0880000000000001</v>
      </c>
      <c r="AO564">
        <v>6.5330000000000004</v>
      </c>
      <c r="AP564">
        <v>-5.5780000000000003</v>
      </c>
      <c r="AQ564">
        <v>17.966000000000001</v>
      </c>
      <c r="AR564">
        <v>-3.879</v>
      </c>
      <c r="AS564">
        <v>-0.25900000000000001</v>
      </c>
      <c r="AT564">
        <v>-1.677</v>
      </c>
      <c r="AU564">
        <v>3.5609999999999999</v>
      </c>
      <c r="AV564">
        <v>4.7779999999999996</v>
      </c>
      <c r="AW564">
        <v>4.8689999999999998</v>
      </c>
    </row>
    <row r="565" spans="1:49" x14ac:dyDescent="0.35">
      <c r="A565" t="s">
        <v>206</v>
      </c>
      <c r="B565" t="s">
        <v>87</v>
      </c>
      <c r="C565" t="s">
        <v>88</v>
      </c>
      <c r="D565" t="s">
        <v>35</v>
      </c>
      <c r="F565" t="s">
        <v>209</v>
      </c>
      <c r="G565">
        <v>11</v>
      </c>
      <c r="H565">
        <v>-0.84399999999999997</v>
      </c>
      <c r="I565">
        <v>-8.4909999999999997</v>
      </c>
      <c r="J565">
        <v>10.146000000000001</v>
      </c>
      <c r="K565">
        <v>-14.743</v>
      </c>
      <c r="L565">
        <v>-21.024000000000001</v>
      </c>
      <c r="M565">
        <v>11.903</v>
      </c>
      <c r="N565">
        <v>4.0069999999999997</v>
      </c>
      <c r="O565">
        <v>-4.2930000000000001</v>
      </c>
      <c r="P565">
        <v>18.902000000000001</v>
      </c>
      <c r="Q565">
        <v>17.010999999999999</v>
      </c>
      <c r="R565">
        <v>20.792999999999999</v>
      </c>
      <c r="S565">
        <v>25.402999999999999</v>
      </c>
      <c r="T565">
        <v>1.982</v>
      </c>
      <c r="U565">
        <v>-4.3330000000000002</v>
      </c>
      <c r="V565">
        <v>15.199</v>
      </c>
      <c r="W565">
        <v>2.91</v>
      </c>
      <c r="X565">
        <v>3.073</v>
      </c>
      <c r="Y565">
        <v>21.231999999999999</v>
      </c>
      <c r="Z565">
        <v>2.1579999999999999</v>
      </c>
      <c r="AA565">
        <v>-6.3380000000000001</v>
      </c>
      <c r="AB565">
        <v>6.7439999999999998</v>
      </c>
      <c r="AC565">
        <v>-8.1839999999999993</v>
      </c>
      <c r="AD565">
        <v>39.472000000000001</v>
      </c>
      <c r="AE565">
        <v>-6.1760000000000002</v>
      </c>
      <c r="AF565">
        <v>-2.4729999999999999</v>
      </c>
      <c r="AG565">
        <v>1.9E-2</v>
      </c>
      <c r="AH565">
        <v>2.74</v>
      </c>
      <c r="AI565">
        <v>-21.588000000000001</v>
      </c>
      <c r="AJ565">
        <v>13.286</v>
      </c>
      <c r="AK565">
        <v>-13.961</v>
      </c>
      <c r="AL565">
        <v>5.5750000000000002</v>
      </c>
      <c r="AM565">
        <v>-7.8879999999999999</v>
      </c>
      <c r="AN565">
        <v>-0.66100000000000003</v>
      </c>
      <c r="AO565">
        <v>9.1969999999999992</v>
      </c>
      <c r="AP565">
        <v>-3.3420000000000001</v>
      </c>
      <c r="AQ565">
        <v>22.79</v>
      </c>
      <c r="AR565">
        <v>-4.0759999999999996</v>
      </c>
      <c r="AS565">
        <v>-1.2090000000000001</v>
      </c>
      <c r="AT565">
        <v>-1.7809999999999999</v>
      </c>
      <c r="AU565">
        <v>3.923</v>
      </c>
      <c r="AV565">
        <v>5.63</v>
      </c>
      <c r="AW565">
        <v>5.625</v>
      </c>
    </row>
    <row r="566" spans="1:49" x14ac:dyDescent="0.35">
      <c r="A566" t="s">
        <v>206</v>
      </c>
      <c r="B566" t="s">
        <v>89</v>
      </c>
      <c r="C566" t="s">
        <v>90</v>
      </c>
      <c r="D566" t="s">
        <v>35</v>
      </c>
      <c r="F566" t="s">
        <v>209</v>
      </c>
      <c r="G566">
        <v>2.8</v>
      </c>
      <c r="H566">
        <v>-3.5139999999999998</v>
      </c>
      <c r="I566">
        <v>-11.914999999999999</v>
      </c>
      <c r="J566">
        <v>1.51</v>
      </c>
      <c r="K566">
        <v>-19.117999999999999</v>
      </c>
      <c r="L566">
        <v>-23.876999999999999</v>
      </c>
      <c r="M566">
        <v>48.191000000000003</v>
      </c>
      <c r="N566">
        <v>34.988999999999997</v>
      </c>
      <c r="O566">
        <v>8.2149999999999999</v>
      </c>
      <c r="P566">
        <v>2.7690000000000001</v>
      </c>
      <c r="Q566">
        <v>2.0350000000000001</v>
      </c>
      <c r="R566">
        <v>7.8310000000000004</v>
      </c>
      <c r="S566">
        <v>7.0549999999999997</v>
      </c>
      <c r="T566">
        <v>12.170999999999999</v>
      </c>
      <c r="U566">
        <v>14.254</v>
      </c>
      <c r="V566">
        <v>2.77</v>
      </c>
      <c r="W566">
        <v>-8.2710000000000008</v>
      </c>
      <c r="X566">
        <v>18.518999999999998</v>
      </c>
      <c r="Y566">
        <v>11.483000000000001</v>
      </c>
      <c r="Z566">
        <v>3.4279999999999999</v>
      </c>
      <c r="AA566">
        <v>23.46</v>
      </c>
      <c r="AB566">
        <v>-6.8179999999999996</v>
      </c>
      <c r="AC566">
        <v>1.373</v>
      </c>
      <c r="AD566">
        <v>44.098999999999997</v>
      </c>
      <c r="AE566">
        <v>2.0209999999999999</v>
      </c>
      <c r="AF566">
        <v>-9.02</v>
      </c>
      <c r="AG566">
        <v>-12.500999999999999</v>
      </c>
      <c r="AH566">
        <v>3.1539999999999999</v>
      </c>
      <c r="AI566">
        <v>-26.954000000000001</v>
      </c>
      <c r="AJ566">
        <v>12.45</v>
      </c>
      <c r="AK566">
        <v>-1.887</v>
      </c>
      <c r="AL566">
        <v>-9.1920000000000002</v>
      </c>
      <c r="AM566">
        <v>9.3119999999999994</v>
      </c>
      <c r="AN566">
        <v>0.441</v>
      </c>
      <c r="AO566">
        <v>8.4670000000000005</v>
      </c>
      <c r="AP566">
        <v>7.6449999999999996</v>
      </c>
      <c r="AQ566">
        <v>3.0249999999999999</v>
      </c>
      <c r="AR566">
        <v>0.82</v>
      </c>
      <c r="AS566">
        <v>1.4379999999999999</v>
      </c>
      <c r="AT566">
        <v>2.1190000000000002</v>
      </c>
      <c r="AU566">
        <v>2.7370000000000001</v>
      </c>
      <c r="AV566">
        <v>2.5369999999999999</v>
      </c>
      <c r="AW566">
        <v>3.3210000000000002</v>
      </c>
    </row>
    <row r="567" spans="1:49" x14ac:dyDescent="0.35">
      <c r="A567" t="s">
        <v>206</v>
      </c>
      <c r="B567" t="s">
        <v>91</v>
      </c>
      <c r="C567" t="s">
        <v>92</v>
      </c>
      <c r="D567" t="s">
        <v>35</v>
      </c>
      <c r="F567" t="s">
        <v>209</v>
      </c>
      <c r="G567">
        <v>-1.4</v>
      </c>
      <c r="H567">
        <v>-5.3570000000000002</v>
      </c>
      <c r="I567">
        <v>-11.5</v>
      </c>
      <c r="J567">
        <v>-1.5389999999999999</v>
      </c>
      <c r="K567">
        <v>-22.76</v>
      </c>
      <c r="L567">
        <v>-21.8</v>
      </c>
      <c r="M567">
        <v>54.622</v>
      </c>
      <c r="N567">
        <v>32.786999999999999</v>
      </c>
      <c r="O567">
        <v>7.0389999999999997</v>
      </c>
      <c r="P567">
        <v>-1.23</v>
      </c>
      <c r="Q567">
        <v>1.252</v>
      </c>
      <c r="R567">
        <v>11.728999999999999</v>
      </c>
      <c r="S567">
        <v>7.0289999999999999</v>
      </c>
      <c r="T567">
        <v>14.005000000000001</v>
      </c>
      <c r="U567">
        <v>13.54</v>
      </c>
      <c r="V567">
        <v>-5.3999999999999999E-2</v>
      </c>
      <c r="W567">
        <v>-3.6379999999999999</v>
      </c>
      <c r="X567">
        <v>20.994</v>
      </c>
      <c r="Y567">
        <v>11.471</v>
      </c>
      <c r="Z567">
        <v>7.18</v>
      </c>
      <c r="AA567">
        <v>1.659</v>
      </c>
      <c r="AB567">
        <v>7.4880000000000004</v>
      </c>
      <c r="AC567">
        <v>3.5070000000000001</v>
      </c>
      <c r="AD567">
        <v>39.606000000000002</v>
      </c>
      <c r="AE567">
        <v>0.90200000000000002</v>
      </c>
      <c r="AF567">
        <v>-11.673999999999999</v>
      </c>
      <c r="AG567">
        <v>-13.106999999999999</v>
      </c>
      <c r="AH567">
        <v>-4.8440000000000003</v>
      </c>
      <c r="AI567">
        <v>-19.143000000000001</v>
      </c>
      <c r="AJ567">
        <v>15.741</v>
      </c>
      <c r="AK567">
        <v>-3.7389999999999999</v>
      </c>
      <c r="AL567">
        <v>-10.545999999999999</v>
      </c>
      <c r="AM567">
        <v>12.565</v>
      </c>
      <c r="AN567">
        <v>0.55200000000000005</v>
      </c>
      <c r="AO567">
        <v>5.3710000000000004</v>
      </c>
      <c r="AP567">
        <v>7.7910000000000004</v>
      </c>
      <c r="AQ567">
        <v>2.516</v>
      </c>
      <c r="AR567">
        <v>0.23400000000000001</v>
      </c>
      <c r="AS567">
        <v>1.268</v>
      </c>
      <c r="AT567">
        <v>2.0659999999999998</v>
      </c>
      <c r="AU567">
        <v>2.4500000000000002</v>
      </c>
      <c r="AV567">
        <v>2.4089999999999998</v>
      </c>
      <c r="AW567">
        <v>3.4449999999999998</v>
      </c>
    </row>
    <row r="568" spans="1:49" x14ac:dyDescent="0.35">
      <c r="A568" t="s">
        <v>206</v>
      </c>
      <c r="B568" t="s">
        <v>93</v>
      </c>
      <c r="C568" t="s">
        <v>94</v>
      </c>
      <c r="D568" t="s">
        <v>95</v>
      </c>
    </row>
    <row r="569" spans="1:49" x14ac:dyDescent="0.35">
      <c r="A569" t="s">
        <v>206</v>
      </c>
      <c r="B569" t="s">
        <v>96</v>
      </c>
      <c r="C569" t="s">
        <v>97</v>
      </c>
      <c r="D569" t="s">
        <v>98</v>
      </c>
      <c r="E569" t="s">
        <v>99</v>
      </c>
    </row>
    <row r="570" spans="1:49" x14ac:dyDescent="0.35">
      <c r="A570" t="s">
        <v>206</v>
      </c>
      <c r="B570" t="s">
        <v>100</v>
      </c>
      <c r="C570" t="s">
        <v>101</v>
      </c>
      <c r="D570" t="s">
        <v>98</v>
      </c>
      <c r="E570" t="s">
        <v>99</v>
      </c>
      <c r="F570" t="s">
        <v>210</v>
      </c>
      <c r="G570">
        <v>0.54400000000000004</v>
      </c>
      <c r="H570">
        <v>0.56100000000000005</v>
      </c>
      <c r="I570">
        <v>0.57699999999999996</v>
      </c>
      <c r="J570">
        <v>0.59399999999999997</v>
      </c>
      <c r="K570">
        <v>0.61399999999999999</v>
      </c>
      <c r="L570">
        <v>0.63700000000000001</v>
      </c>
      <c r="M570">
        <v>0.66300000000000003</v>
      </c>
      <c r="N570">
        <v>0.69199999999999995</v>
      </c>
      <c r="O570">
        <v>0.72299999999999998</v>
      </c>
      <c r="P570">
        <v>0.752</v>
      </c>
      <c r="Q570">
        <v>0.77800000000000002</v>
      </c>
      <c r="R570">
        <v>0.80100000000000005</v>
      </c>
      <c r="S570">
        <v>0.81899999999999995</v>
      </c>
      <c r="T570">
        <v>0.83599999999999997</v>
      </c>
      <c r="U570">
        <v>0.85199999999999998</v>
      </c>
      <c r="V570">
        <v>0.86899999999999999</v>
      </c>
      <c r="W570">
        <v>0.88800000000000001</v>
      </c>
      <c r="X570">
        <v>0.90800000000000003</v>
      </c>
      <c r="Y570">
        <v>0.92800000000000005</v>
      </c>
      <c r="Z570">
        <v>0.94599999999999995</v>
      </c>
      <c r="AA570">
        <v>0.96</v>
      </c>
      <c r="AB570">
        <v>0.97</v>
      </c>
      <c r="AC570">
        <v>0.97599999999999998</v>
      </c>
      <c r="AD570">
        <v>0.98199999999999998</v>
      </c>
      <c r="AE570">
        <v>0.98799999999999999</v>
      </c>
      <c r="AF570">
        <v>0.997</v>
      </c>
      <c r="AG570">
        <v>1.0089999999999999</v>
      </c>
      <c r="AH570">
        <v>1.02</v>
      </c>
      <c r="AI570">
        <v>1.0309999999999999</v>
      </c>
      <c r="AJ570">
        <v>1.0429999999999999</v>
      </c>
      <c r="AK570">
        <v>1.054</v>
      </c>
      <c r="AL570">
        <v>1.0669999999999999</v>
      </c>
      <c r="AM570">
        <v>1.08</v>
      </c>
      <c r="AN570">
        <v>1.093</v>
      </c>
      <c r="AO570">
        <v>1.1060000000000001</v>
      </c>
      <c r="AP570">
        <v>1.119</v>
      </c>
      <c r="AQ570">
        <v>1.1319999999999999</v>
      </c>
      <c r="AR570">
        <v>1.147</v>
      </c>
      <c r="AS570">
        <v>1.1619999999999999</v>
      </c>
      <c r="AT570">
        <v>1.177</v>
      </c>
      <c r="AU570">
        <v>1.1919999999999999</v>
      </c>
      <c r="AV570">
        <v>1.208</v>
      </c>
      <c r="AW570">
        <v>1.224</v>
      </c>
    </row>
    <row r="571" spans="1:49" x14ac:dyDescent="0.35">
      <c r="A571" t="s">
        <v>206</v>
      </c>
      <c r="B571" t="s">
        <v>103</v>
      </c>
      <c r="C571" t="s">
        <v>104</v>
      </c>
      <c r="D571" t="s">
        <v>31</v>
      </c>
      <c r="E571" t="s">
        <v>32</v>
      </c>
      <c r="F571" t="s">
        <v>211</v>
      </c>
      <c r="G571">
        <v>0.156</v>
      </c>
      <c r="H571">
        <v>0.13600000000000001</v>
      </c>
      <c r="I571">
        <v>0.184</v>
      </c>
      <c r="J571">
        <v>0.186</v>
      </c>
      <c r="K571">
        <v>0.221</v>
      </c>
      <c r="L571">
        <v>0.24299999999999999</v>
      </c>
      <c r="M571">
        <v>0.25600000000000001</v>
      </c>
      <c r="N571">
        <v>0.33700000000000002</v>
      </c>
      <c r="O571">
        <v>0.42799999999999999</v>
      </c>
      <c r="P571">
        <v>0.58399999999999996</v>
      </c>
      <c r="Q571">
        <v>0.75600000000000001</v>
      </c>
      <c r="R571">
        <v>0.81599999999999995</v>
      </c>
      <c r="S571">
        <v>0.91100000000000003</v>
      </c>
      <c r="T571">
        <v>0.98199999999999998</v>
      </c>
      <c r="U571">
        <v>1.177</v>
      </c>
      <c r="V571">
        <v>1.454</v>
      </c>
      <c r="W571">
        <v>1.704</v>
      </c>
      <c r="X571">
        <v>2.0390000000000001</v>
      </c>
      <c r="Y571">
        <v>2.2749999999999999</v>
      </c>
      <c r="Z571">
        <v>2.6459999999999999</v>
      </c>
      <c r="AA571">
        <v>2.8250000000000002</v>
      </c>
      <c r="AB571">
        <v>3.1110000000000002</v>
      </c>
      <c r="AC571">
        <v>3.4260000000000002</v>
      </c>
      <c r="AD571">
        <v>3.9079999999999999</v>
      </c>
      <c r="AE571">
        <v>4.8419999999999996</v>
      </c>
      <c r="AF571">
        <v>5.4989999999999997</v>
      </c>
      <c r="AG571">
        <v>8.0310000000000006</v>
      </c>
      <c r="AH571">
        <v>7.9939999999999998</v>
      </c>
      <c r="AI571">
        <v>9.5139999999999993</v>
      </c>
      <c r="AJ571">
        <v>9.2530000000000001</v>
      </c>
      <c r="AK571">
        <v>6.9850000000000003</v>
      </c>
      <c r="AL571">
        <v>7.4889999999999999</v>
      </c>
      <c r="AM571">
        <v>12.178000000000001</v>
      </c>
      <c r="AN571">
        <v>12.91</v>
      </c>
      <c r="AO571">
        <v>14.773</v>
      </c>
      <c r="AP571">
        <v>14.621</v>
      </c>
      <c r="AQ571">
        <v>13.882999999999999</v>
      </c>
      <c r="AR571">
        <v>15.978</v>
      </c>
      <c r="AS571">
        <v>16.606999999999999</v>
      </c>
      <c r="AT571">
        <v>17.652000000000001</v>
      </c>
      <c r="AU571">
        <v>18.956</v>
      </c>
      <c r="AV571">
        <v>20.347000000000001</v>
      </c>
      <c r="AW571">
        <v>21.843</v>
      </c>
    </row>
    <row r="572" spans="1:49" x14ac:dyDescent="0.35">
      <c r="A572" t="s">
        <v>206</v>
      </c>
      <c r="B572" t="s">
        <v>103</v>
      </c>
      <c r="C572" t="s">
        <v>104</v>
      </c>
      <c r="D572" t="s">
        <v>70</v>
      </c>
      <c r="F572" t="s">
        <v>106</v>
      </c>
      <c r="G572">
        <v>20.417999999999999</v>
      </c>
      <c r="H572">
        <v>15.471</v>
      </c>
      <c r="I572">
        <v>18.213000000000001</v>
      </c>
      <c r="J572">
        <v>16.521000000000001</v>
      </c>
      <c r="K572">
        <v>17.905999999999999</v>
      </c>
      <c r="L572">
        <v>17.867999999999999</v>
      </c>
      <c r="M572">
        <v>16.521999999999998</v>
      </c>
      <c r="N572">
        <v>18.751000000000001</v>
      </c>
      <c r="O572">
        <v>19.748000000000001</v>
      </c>
      <c r="P572">
        <v>20.492000000000001</v>
      </c>
      <c r="Q572">
        <v>23.071999999999999</v>
      </c>
      <c r="R572">
        <v>22.030999999999999</v>
      </c>
      <c r="S572">
        <v>21.221</v>
      </c>
      <c r="T572">
        <v>19.442</v>
      </c>
      <c r="U572">
        <v>19.454000000000001</v>
      </c>
      <c r="V572">
        <v>19.916</v>
      </c>
      <c r="W572">
        <v>20.588999999999999</v>
      </c>
      <c r="X572">
        <v>21.696999999999999</v>
      </c>
      <c r="Y572">
        <v>21.933</v>
      </c>
      <c r="Z572">
        <v>23.183</v>
      </c>
      <c r="AA572">
        <v>22.084</v>
      </c>
      <c r="AB572">
        <v>21.885000000000002</v>
      </c>
      <c r="AC572">
        <v>21.506</v>
      </c>
      <c r="AD572">
        <v>22.375</v>
      </c>
      <c r="AE572">
        <v>25.492999999999999</v>
      </c>
      <c r="AF572">
        <v>25.998000000000001</v>
      </c>
      <c r="AG572">
        <v>34.573</v>
      </c>
      <c r="AH572">
        <v>31.253</v>
      </c>
      <c r="AI572">
        <v>33.424999999999997</v>
      </c>
      <c r="AJ572">
        <v>29.547000000000001</v>
      </c>
      <c r="AK572">
        <v>20.821000000000002</v>
      </c>
      <c r="AL572">
        <v>20.634</v>
      </c>
      <c r="AM572">
        <v>30.489000000000001</v>
      </c>
      <c r="AN572">
        <v>29.573</v>
      </c>
      <c r="AO572">
        <v>31.094000000000001</v>
      </c>
      <c r="AP572">
        <v>28.387</v>
      </c>
      <c r="AQ572">
        <v>24.577999999999999</v>
      </c>
      <c r="AR572">
        <v>26.893999999999998</v>
      </c>
      <c r="AS572">
        <v>26.850999999999999</v>
      </c>
      <c r="AT572">
        <v>27.173999999999999</v>
      </c>
      <c r="AU572">
        <v>27.477</v>
      </c>
      <c r="AV572">
        <v>27.616</v>
      </c>
      <c r="AW572">
        <v>27.754000000000001</v>
      </c>
    </row>
    <row r="573" spans="1:49" x14ac:dyDescent="0.35">
      <c r="A573" t="s">
        <v>206</v>
      </c>
      <c r="B573" t="s">
        <v>107</v>
      </c>
      <c r="C573" t="s">
        <v>108</v>
      </c>
      <c r="D573" t="s">
        <v>31</v>
      </c>
      <c r="E573" t="s">
        <v>32</v>
      </c>
      <c r="F573" t="s">
        <v>211</v>
      </c>
      <c r="G573">
        <v>0.11700000000000001</v>
      </c>
      <c r="H573">
        <v>0.16600000000000001</v>
      </c>
      <c r="I573">
        <v>0.183</v>
      </c>
      <c r="J573">
        <v>0.191</v>
      </c>
      <c r="K573">
        <v>0.21</v>
      </c>
      <c r="L573">
        <v>0.25800000000000001</v>
      </c>
      <c r="M573">
        <v>0.29099999999999998</v>
      </c>
      <c r="N573">
        <v>0.30099999999999999</v>
      </c>
      <c r="O573">
        <v>0.35499999999999998</v>
      </c>
      <c r="P573">
        <v>0.42699999999999999</v>
      </c>
      <c r="Q573">
        <v>0.58199999999999996</v>
      </c>
      <c r="R573">
        <v>0.69899999999999995</v>
      </c>
      <c r="S573">
        <v>1.0249999999999999</v>
      </c>
      <c r="T573">
        <v>1.1379999999999999</v>
      </c>
      <c r="U573">
        <v>1.379</v>
      </c>
      <c r="V573">
        <v>1.393</v>
      </c>
      <c r="W573">
        <v>1.78</v>
      </c>
      <c r="X573">
        <v>1.855</v>
      </c>
      <c r="Y573">
        <v>2.1720000000000002</v>
      </c>
      <c r="Z573">
        <v>2.7789999999999999</v>
      </c>
      <c r="AA573">
        <v>2.9689999999999999</v>
      </c>
      <c r="AB573">
        <v>3.41</v>
      </c>
      <c r="AC573">
        <v>3.98</v>
      </c>
      <c r="AD573">
        <v>4.2549999999999999</v>
      </c>
      <c r="AE573">
        <v>5.5540000000000003</v>
      </c>
      <c r="AF573">
        <v>5.8339999999999996</v>
      </c>
      <c r="AG573">
        <v>6.109</v>
      </c>
      <c r="AH573">
        <v>7.4160000000000004</v>
      </c>
      <c r="AI573">
        <v>9.0839999999999996</v>
      </c>
      <c r="AJ573">
        <v>10.153</v>
      </c>
      <c r="AK573">
        <v>9.9879999999999995</v>
      </c>
      <c r="AL573">
        <v>8.8539999999999992</v>
      </c>
      <c r="AM573">
        <v>10.778</v>
      </c>
      <c r="AN573">
        <v>12.582000000000001</v>
      </c>
      <c r="AO573">
        <v>15.304</v>
      </c>
      <c r="AP573">
        <v>16.998999999999999</v>
      </c>
      <c r="AQ573">
        <v>19.829999999999998</v>
      </c>
      <c r="AR573">
        <v>20.847999999999999</v>
      </c>
      <c r="AS573">
        <v>19.774000000000001</v>
      </c>
      <c r="AT573">
        <v>18.881</v>
      </c>
      <c r="AU573">
        <v>19.602</v>
      </c>
      <c r="AV573">
        <v>21.363</v>
      </c>
      <c r="AW573">
        <v>22.956</v>
      </c>
    </row>
    <row r="574" spans="1:49" x14ac:dyDescent="0.35">
      <c r="A574" t="s">
        <v>206</v>
      </c>
      <c r="B574" t="s">
        <v>107</v>
      </c>
      <c r="C574" t="s">
        <v>108</v>
      </c>
      <c r="D574" t="s">
        <v>70</v>
      </c>
      <c r="F574" t="s">
        <v>109</v>
      </c>
      <c r="G574">
        <v>15.305999999999999</v>
      </c>
      <c r="H574">
        <v>18.875</v>
      </c>
      <c r="I574">
        <v>18.132999999999999</v>
      </c>
      <c r="J574">
        <v>16.962</v>
      </c>
      <c r="K574">
        <v>16.952999999999999</v>
      </c>
      <c r="L574">
        <v>18.998999999999999</v>
      </c>
      <c r="M574">
        <v>18.803999999999998</v>
      </c>
      <c r="N574">
        <v>16.751000000000001</v>
      </c>
      <c r="O574">
        <v>16.364999999999998</v>
      </c>
      <c r="P574">
        <v>14.984999999999999</v>
      </c>
      <c r="Q574">
        <v>17.751000000000001</v>
      </c>
      <c r="R574">
        <v>18.869</v>
      </c>
      <c r="S574">
        <v>23.885999999999999</v>
      </c>
      <c r="T574">
        <v>22.538</v>
      </c>
      <c r="U574">
        <v>22.792000000000002</v>
      </c>
      <c r="V574">
        <v>19.081</v>
      </c>
      <c r="W574">
        <v>21.512</v>
      </c>
      <c r="X574">
        <v>19.733000000000001</v>
      </c>
      <c r="Y574">
        <v>20.936</v>
      </c>
      <c r="Z574">
        <v>24.347000000000001</v>
      </c>
      <c r="AA574">
        <v>23.202999999999999</v>
      </c>
      <c r="AB574">
        <v>23.984000000000002</v>
      </c>
      <c r="AC574">
        <v>24.988</v>
      </c>
      <c r="AD574">
        <v>24.36</v>
      </c>
      <c r="AE574">
        <v>29.242999999999999</v>
      </c>
      <c r="AF574">
        <v>27.579000000000001</v>
      </c>
      <c r="AG574">
        <v>26.300999999999998</v>
      </c>
      <c r="AH574">
        <v>28.992999999999999</v>
      </c>
      <c r="AI574">
        <v>31.914000000000001</v>
      </c>
      <c r="AJ574">
        <v>32.421999999999997</v>
      </c>
      <c r="AK574">
        <v>29.773</v>
      </c>
      <c r="AL574">
        <v>24.396999999999998</v>
      </c>
      <c r="AM574">
        <v>26.984000000000002</v>
      </c>
      <c r="AN574">
        <v>28.821000000000002</v>
      </c>
      <c r="AO574">
        <v>32.212000000000003</v>
      </c>
      <c r="AP574">
        <v>33.003</v>
      </c>
      <c r="AQ574">
        <v>35.107999999999997</v>
      </c>
      <c r="AR574">
        <v>35.091999999999999</v>
      </c>
      <c r="AS574">
        <v>31.972999999999999</v>
      </c>
      <c r="AT574">
        <v>29.065000000000001</v>
      </c>
      <c r="AU574">
        <v>28.414999999999999</v>
      </c>
      <c r="AV574">
        <v>28.995000000000001</v>
      </c>
      <c r="AW574">
        <v>29.169</v>
      </c>
    </row>
    <row r="575" spans="1:49" x14ac:dyDescent="0.35">
      <c r="A575" t="s">
        <v>206</v>
      </c>
      <c r="B575" t="s">
        <v>110</v>
      </c>
      <c r="C575" t="s">
        <v>111</v>
      </c>
      <c r="D575" t="s">
        <v>31</v>
      </c>
      <c r="E575" t="s">
        <v>32</v>
      </c>
      <c r="F575" t="s">
        <v>211</v>
      </c>
      <c r="G575">
        <v>3.9E-2</v>
      </c>
      <c r="H575">
        <v>-0.03</v>
      </c>
      <c r="I575">
        <v>1E-3</v>
      </c>
      <c r="J575">
        <v>-5.0000000000000001E-3</v>
      </c>
      <c r="K575">
        <v>1.2E-2</v>
      </c>
      <c r="L575">
        <v>-1.4999999999999999E-2</v>
      </c>
      <c r="M575">
        <v>-3.5000000000000003E-2</v>
      </c>
      <c r="N575">
        <v>3.5999999999999997E-2</v>
      </c>
      <c r="O575">
        <v>7.2999999999999995E-2</v>
      </c>
      <c r="P575">
        <v>0.157</v>
      </c>
      <c r="Q575">
        <v>0.17399999999999999</v>
      </c>
      <c r="R575">
        <v>0.11700000000000001</v>
      </c>
      <c r="S575">
        <v>-0.114</v>
      </c>
      <c r="T575">
        <v>-0.156</v>
      </c>
      <c r="U575">
        <v>-0.20200000000000001</v>
      </c>
      <c r="V575">
        <v>6.0999999999999999E-2</v>
      </c>
      <c r="W575">
        <v>-7.5999999999999998E-2</v>
      </c>
      <c r="X575">
        <v>0.185</v>
      </c>
      <c r="Y575">
        <v>0.10299999999999999</v>
      </c>
      <c r="Z575">
        <v>-0.13300000000000001</v>
      </c>
      <c r="AA575">
        <v>-0.14299999999999999</v>
      </c>
      <c r="AB575">
        <v>-0.29799999999999999</v>
      </c>
      <c r="AC575">
        <v>-0.55500000000000005</v>
      </c>
      <c r="AD575">
        <v>-0.34699999999999998</v>
      </c>
      <c r="AE575">
        <v>-0.71199999999999997</v>
      </c>
      <c r="AF575">
        <v>-0.33400000000000002</v>
      </c>
      <c r="AG575">
        <v>1.921</v>
      </c>
      <c r="AH575">
        <v>0.57799999999999996</v>
      </c>
      <c r="AI575">
        <v>0.43</v>
      </c>
      <c r="AJ575">
        <v>-0.9</v>
      </c>
      <c r="AK575">
        <v>-3.0030000000000001</v>
      </c>
      <c r="AL575">
        <v>-1.365</v>
      </c>
      <c r="AM575">
        <v>1.4</v>
      </c>
      <c r="AN575">
        <v>0.32800000000000001</v>
      </c>
      <c r="AO575">
        <v>-0.53100000000000003</v>
      </c>
      <c r="AP575">
        <v>-2.3769999999999998</v>
      </c>
      <c r="AQ575">
        <v>-5.9470000000000001</v>
      </c>
      <c r="AR575">
        <v>-4.8710000000000004</v>
      </c>
      <c r="AS575">
        <v>-3.1680000000000001</v>
      </c>
      <c r="AT575">
        <v>-1.2290000000000001</v>
      </c>
      <c r="AU575">
        <v>-0.64700000000000002</v>
      </c>
      <c r="AV575">
        <v>-1.016</v>
      </c>
      <c r="AW575">
        <v>-1.113</v>
      </c>
    </row>
    <row r="576" spans="1:49" x14ac:dyDescent="0.35">
      <c r="A576" t="s">
        <v>206</v>
      </c>
      <c r="B576" t="s">
        <v>110</v>
      </c>
      <c r="C576" t="s">
        <v>111</v>
      </c>
      <c r="D576" t="s">
        <v>70</v>
      </c>
      <c r="F576" t="s">
        <v>112</v>
      </c>
      <c r="G576">
        <v>5.1120000000000001</v>
      </c>
      <c r="H576">
        <v>-3.4039999999999999</v>
      </c>
      <c r="I576">
        <v>0.08</v>
      </c>
      <c r="J576">
        <v>-0.442</v>
      </c>
      <c r="K576">
        <v>0.95299999999999996</v>
      </c>
      <c r="L576">
        <v>-1.131</v>
      </c>
      <c r="M576">
        <v>-2.282</v>
      </c>
      <c r="N576">
        <v>2</v>
      </c>
      <c r="O576">
        <v>3.383</v>
      </c>
      <c r="P576">
        <v>5.5069999999999997</v>
      </c>
      <c r="Q576">
        <v>5.3209999999999997</v>
      </c>
      <c r="R576">
        <v>3.161</v>
      </c>
      <c r="S576">
        <v>-2.665</v>
      </c>
      <c r="T576">
        <v>-3.0960000000000001</v>
      </c>
      <c r="U576">
        <v>-3.3380000000000001</v>
      </c>
      <c r="V576">
        <v>0.83499999999999996</v>
      </c>
      <c r="W576">
        <v>-0.92300000000000004</v>
      </c>
      <c r="X576">
        <v>1.9630000000000001</v>
      </c>
      <c r="Y576">
        <v>0.997</v>
      </c>
      <c r="Z576">
        <v>-1.1639999999999999</v>
      </c>
      <c r="AA576">
        <v>-1.1200000000000001</v>
      </c>
      <c r="AB576">
        <v>-2.0979999999999999</v>
      </c>
      <c r="AC576">
        <v>-3.4809999999999999</v>
      </c>
      <c r="AD576">
        <v>-1.984</v>
      </c>
      <c r="AE576">
        <v>-3.75</v>
      </c>
      <c r="AF576">
        <v>-1.581</v>
      </c>
      <c r="AG576">
        <v>8.2720000000000002</v>
      </c>
      <c r="AH576">
        <v>2.2599999999999998</v>
      </c>
      <c r="AI576">
        <v>1.5109999999999999</v>
      </c>
      <c r="AJ576">
        <v>-2.8740000000000001</v>
      </c>
      <c r="AK576">
        <v>-8.952</v>
      </c>
      <c r="AL576">
        <v>-3.762</v>
      </c>
      <c r="AM576">
        <v>3.5049999999999999</v>
      </c>
      <c r="AN576">
        <v>0.752</v>
      </c>
      <c r="AO576">
        <v>-1.1180000000000001</v>
      </c>
      <c r="AP576">
        <v>-4.6159999999999997</v>
      </c>
      <c r="AQ576">
        <v>-10.529</v>
      </c>
      <c r="AR576">
        <v>-8.1980000000000004</v>
      </c>
      <c r="AS576">
        <v>-5.1219999999999999</v>
      </c>
      <c r="AT576">
        <v>-1.891</v>
      </c>
      <c r="AU576">
        <v>-0.93799999999999994</v>
      </c>
      <c r="AV576">
        <v>-1.379</v>
      </c>
      <c r="AW576">
        <v>-1.4139999999999999</v>
      </c>
    </row>
    <row r="577" spans="1:49" x14ac:dyDescent="0.35">
      <c r="A577" t="s">
        <v>206</v>
      </c>
      <c r="B577" t="s">
        <v>113</v>
      </c>
      <c r="C577" t="s">
        <v>114</v>
      </c>
      <c r="D577" t="s">
        <v>31</v>
      </c>
      <c r="E577" t="s">
        <v>32</v>
      </c>
    </row>
    <row r="578" spans="1:49" x14ac:dyDescent="0.35">
      <c r="A578" t="s">
        <v>206</v>
      </c>
      <c r="B578" t="s">
        <v>113</v>
      </c>
      <c r="C578" t="s">
        <v>114</v>
      </c>
      <c r="D578" t="s">
        <v>61</v>
      </c>
    </row>
    <row r="579" spans="1:49" x14ac:dyDescent="0.35">
      <c r="A579" t="s">
        <v>206</v>
      </c>
      <c r="B579" t="s">
        <v>115</v>
      </c>
      <c r="C579" t="s">
        <v>116</v>
      </c>
      <c r="D579" t="s">
        <v>31</v>
      </c>
      <c r="E579" t="s">
        <v>32</v>
      </c>
      <c r="F579" t="s">
        <v>211</v>
      </c>
      <c r="G579">
        <v>0.04</v>
      </c>
      <c r="H579">
        <v>-2.7E-2</v>
      </c>
      <c r="I579">
        <v>8.9999999999999993E-3</v>
      </c>
      <c r="J579">
        <v>4.0000000000000001E-3</v>
      </c>
      <c r="K579">
        <v>2.1999999999999999E-2</v>
      </c>
      <c r="L579" t="s">
        <v>39</v>
      </c>
      <c r="M579">
        <v>-1.4E-2</v>
      </c>
      <c r="N579">
        <v>5.6000000000000001E-2</v>
      </c>
      <c r="O579">
        <v>9.6000000000000002E-2</v>
      </c>
      <c r="P579">
        <v>0.18099999999999999</v>
      </c>
      <c r="Q579">
        <v>0.19500000000000001</v>
      </c>
      <c r="R579">
        <v>0.13700000000000001</v>
      </c>
      <c r="S579">
        <v>-0.09</v>
      </c>
      <c r="T579">
        <v>-0.13500000000000001</v>
      </c>
      <c r="U579">
        <v>-0.17699999999999999</v>
      </c>
      <c r="V579">
        <v>9.1999999999999998E-2</v>
      </c>
      <c r="W579">
        <v>-3.5999999999999997E-2</v>
      </c>
      <c r="X579">
        <v>0.22700000000000001</v>
      </c>
      <c r="Y579">
        <v>0.154</v>
      </c>
      <c r="Z579">
        <v>-5.7000000000000002E-2</v>
      </c>
      <c r="AA579">
        <v>-0.08</v>
      </c>
      <c r="AB579">
        <v>-0.19600000000000001</v>
      </c>
      <c r="AC579">
        <v>-0.38700000000000001</v>
      </c>
      <c r="AD579">
        <v>-0.17299999999999999</v>
      </c>
      <c r="AE579">
        <v>-0.54400000000000004</v>
      </c>
      <c r="AF579">
        <v>-0.13300000000000001</v>
      </c>
      <c r="AG579">
        <v>2.0760000000000001</v>
      </c>
      <c r="AH579">
        <v>0.751</v>
      </c>
      <c r="AI579">
        <v>0.68200000000000005</v>
      </c>
      <c r="AJ579">
        <v>-0.69199999999999995</v>
      </c>
      <c r="AK579">
        <v>-2.7989999999999999</v>
      </c>
      <c r="AL579">
        <v>-1.101</v>
      </c>
      <c r="AM579">
        <v>1.75</v>
      </c>
      <c r="AN579">
        <v>0.67300000000000004</v>
      </c>
      <c r="AO579">
        <v>-7.9000000000000001E-2</v>
      </c>
      <c r="AP579">
        <v>-1.7430000000000001</v>
      </c>
      <c r="AQ579">
        <v>-5.0810000000000004</v>
      </c>
      <c r="AR579">
        <v>-3.4359999999999999</v>
      </c>
      <c r="AS579">
        <v>-1.4039999999999999</v>
      </c>
      <c r="AT579">
        <v>0.88100000000000001</v>
      </c>
      <c r="AU579">
        <v>1.667</v>
      </c>
      <c r="AV579">
        <v>1.3520000000000001</v>
      </c>
      <c r="AW579">
        <v>1.385</v>
      </c>
    </row>
    <row r="580" spans="1:49" x14ac:dyDescent="0.35">
      <c r="A580" t="s">
        <v>206</v>
      </c>
      <c r="B580" t="s">
        <v>115</v>
      </c>
      <c r="C580" t="s">
        <v>116</v>
      </c>
      <c r="D580" t="s">
        <v>70</v>
      </c>
      <c r="F580" t="s">
        <v>117</v>
      </c>
      <c r="G580">
        <v>5.1580000000000004</v>
      </c>
      <c r="H580">
        <v>-3.0670000000000002</v>
      </c>
      <c r="I580">
        <v>0.86199999999999999</v>
      </c>
      <c r="J580">
        <v>0.33</v>
      </c>
      <c r="K580">
        <v>1.7889999999999999</v>
      </c>
      <c r="L580">
        <v>2.7E-2</v>
      </c>
      <c r="M580">
        <v>-0.88700000000000001</v>
      </c>
      <c r="N580">
        <v>3.1230000000000002</v>
      </c>
      <c r="O580">
        <v>4.4080000000000004</v>
      </c>
      <c r="P580">
        <v>6.36</v>
      </c>
      <c r="Q580">
        <v>5.9390000000000001</v>
      </c>
      <c r="R580">
        <v>3.7010000000000001</v>
      </c>
      <c r="S580">
        <v>-2.0990000000000002</v>
      </c>
      <c r="T580">
        <v>-2.6680000000000001</v>
      </c>
      <c r="U580">
        <v>-2.9279999999999999</v>
      </c>
      <c r="V580">
        <v>1.262</v>
      </c>
      <c r="W580">
        <v>-0.439</v>
      </c>
      <c r="X580">
        <v>2.4180000000000001</v>
      </c>
      <c r="Y580">
        <v>1.488</v>
      </c>
      <c r="Z580">
        <v>-0.501</v>
      </c>
      <c r="AA580">
        <v>-0.626</v>
      </c>
      <c r="AB580">
        <v>-1.38</v>
      </c>
      <c r="AC580">
        <v>-2.431</v>
      </c>
      <c r="AD580">
        <v>-0.98899999999999999</v>
      </c>
      <c r="AE580">
        <v>-2.8660000000000001</v>
      </c>
      <c r="AF580">
        <v>-0.627</v>
      </c>
      <c r="AG580">
        <v>8.9380000000000006</v>
      </c>
      <c r="AH580">
        <v>2.9369999999999998</v>
      </c>
      <c r="AI580">
        <v>2.395</v>
      </c>
      <c r="AJ580">
        <v>-2.21</v>
      </c>
      <c r="AK580">
        <v>-8.3450000000000006</v>
      </c>
      <c r="AL580">
        <v>-3.0329999999999999</v>
      </c>
      <c r="AM580">
        <v>4.3819999999999997</v>
      </c>
      <c r="AN580">
        <v>1.5409999999999999</v>
      </c>
      <c r="AO580">
        <v>-0.16700000000000001</v>
      </c>
      <c r="AP580">
        <v>-3.3849999999999998</v>
      </c>
      <c r="AQ580">
        <v>-8.9949999999999992</v>
      </c>
      <c r="AR580">
        <v>-5.7839999999999998</v>
      </c>
      <c r="AS580">
        <v>-2.27</v>
      </c>
      <c r="AT580">
        <v>1.357</v>
      </c>
      <c r="AU580">
        <v>2.4169999999999998</v>
      </c>
      <c r="AV580">
        <v>1.835</v>
      </c>
      <c r="AW580">
        <v>1.7589999999999999</v>
      </c>
    </row>
    <row r="581" spans="1:49" x14ac:dyDescent="0.35">
      <c r="A581" t="s">
        <v>206</v>
      </c>
      <c r="B581" t="s">
        <v>118</v>
      </c>
      <c r="C581" t="s">
        <v>119</v>
      </c>
      <c r="D581" t="s">
        <v>31</v>
      </c>
      <c r="E581" t="s">
        <v>32</v>
      </c>
      <c r="F581" t="s">
        <v>211</v>
      </c>
      <c r="G581" t="s">
        <v>82</v>
      </c>
      <c r="H581" t="s">
        <v>82</v>
      </c>
      <c r="I581" t="s">
        <v>82</v>
      </c>
      <c r="J581" t="s">
        <v>82</v>
      </c>
      <c r="K581" t="s">
        <v>82</v>
      </c>
      <c r="L581" t="s">
        <v>82</v>
      </c>
      <c r="M581" t="s">
        <v>82</v>
      </c>
      <c r="N581" t="s">
        <v>82</v>
      </c>
      <c r="O581" t="s">
        <v>82</v>
      </c>
      <c r="P581" t="s">
        <v>82</v>
      </c>
      <c r="Q581" t="s">
        <v>82</v>
      </c>
      <c r="R581" t="s">
        <v>82</v>
      </c>
      <c r="S581" t="s">
        <v>82</v>
      </c>
      <c r="T581" t="s">
        <v>82</v>
      </c>
      <c r="U581" t="s">
        <v>82</v>
      </c>
      <c r="V581" t="s">
        <v>82</v>
      </c>
      <c r="W581" t="s">
        <v>82</v>
      </c>
      <c r="X581" t="s">
        <v>82</v>
      </c>
      <c r="Y581" t="s">
        <v>82</v>
      </c>
      <c r="Z581" t="s">
        <v>82</v>
      </c>
      <c r="AA581" t="s">
        <v>82</v>
      </c>
      <c r="AB581">
        <v>2.6960000000000002</v>
      </c>
      <c r="AC581">
        <v>2.46</v>
      </c>
      <c r="AD581">
        <v>2.532</v>
      </c>
      <c r="AE581">
        <v>2.0590000000000002</v>
      </c>
      <c r="AF581">
        <v>1.532</v>
      </c>
      <c r="AG581">
        <v>1.1559999999999999</v>
      </c>
      <c r="AH581">
        <v>-0.29799999999999999</v>
      </c>
      <c r="AI581">
        <v>-1.964</v>
      </c>
      <c r="AJ581">
        <v>-1.081</v>
      </c>
      <c r="AK581">
        <v>1.6659999999999999</v>
      </c>
      <c r="AL581">
        <v>2.6850000000000001</v>
      </c>
      <c r="AM581">
        <v>2.238</v>
      </c>
      <c r="AN581">
        <v>1.81</v>
      </c>
      <c r="AO581">
        <v>1.679</v>
      </c>
      <c r="AP581">
        <v>5.1189999999999998</v>
      </c>
      <c r="AQ581">
        <v>10.022</v>
      </c>
      <c r="AR581">
        <v>15.243</v>
      </c>
      <c r="AS581">
        <v>18.614000000000001</v>
      </c>
      <c r="AT581">
        <v>20.062999999999999</v>
      </c>
      <c r="AU581">
        <v>20.957000000000001</v>
      </c>
      <c r="AV581">
        <v>22.256</v>
      </c>
      <c r="AW581">
        <v>23.579000000000001</v>
      </c>
    </row>
    <row r="582" spans="1:49" x14ac:dyDescent="0.35">
      <c r="A582" t="s">
        <v>206</v>
      </c>
      <c r="B582" t="s">
        <v>118</v>
      </c>
      <c r="C582" t="s">
        <v>119</v>
      </c>
      <c r="D582" t="s">
        <v>70</v>
      </c>
      <c r="F582" t="s">
        <v>134</v>
      </c>
      <c r="G582" t="s">
        <v>82</v>
      </c>
      <c r="H582" t="s">
        <v>82</v>
      </c>
      <c r="I582" t="s">
        <v>82</v>
      </c>
      <c r="J582" t="s">
        <v>82</v>
      </c>
      <c r="K582" t="s">
        <v>82</v>
      </c>
      <c r="L582" t="s">
        <v>82</v>
      </c>
      <c r="M582" t="s">
        <v>82</v>
      </c>
      <c r="N582" t="s">
        <v>82</v>
      </c>
      <c r="O582" t="s">
        <v>82</v>
      </c>
      <c r="P582" t="s">
        <v>82</v>
      </c>
      <c r="Q582" t="s">
        <v>82</v>
      </c>
      <c r="R582" t="s">
        <v>82</v>
      </c>
      <c r="S582" t="s">
        <v>82</v>
      </c>
      <c r="T582" t="s">
        <v>82</v>
      </c>
      <c r="U582" t="s">
        <v>82</v>
      </c>
      <c r="V582" t="s">
        <v>82</v>
      </c>
      <c r="W582" t="s">
        <v>82</v>
      </c>
      <c r="X582" t="s">
        <v>82</v>
      </c>
      <c r="Y582" t="s">
        <v>82</v>
      </c>
      <c r="Z582" t="s">
        <v>82</v>
      </c>
      <c r="AA582" t="s">
        <v>82</v>
      </c>
      <c r="AB582">
        <v>18.962</v>
      </c>
      <c r="AC582">
        <v>15.441000000000001</v>
      </c>
      <c r="AD582">
        <v>14.494999999999999</v>
      </c>
      <c r="AE582">
        <v>10.840999999999999</v>
      </c>
      <c r="AF582">
        <v>7.242</v>
      </c>
      <c r="AG582">
        <v>4.9770000000000003</v>
      </c>
      <c r="AH582">
        <v>-1.165</v>
      </c>
      <c r="AI582">
        <v>-6.899</v>
      </c>
      <c r="AJ582">
        <v>-3.4529999999999998</v>
      </c>
      <c r="AK582">
        <v>4.9660000000000002</v>
      </c>
      <c r="AL582">
        <v>7.3970000000000002</v>
      </c>
      <c r="AM582">
        <v>5.6029999999999998</v>
      </c>
      <c r="AN582">
        <v>4.1449999999999996</v>
      </c>
      <c r="AO582">
        <v>3.5329999999999999</v>
      </c>
      <c r="AP582">
        <v>9.9390000000000001</v>
      </c>
      <c r="AQ582">
        <v>17.742999999999999</v>
      </c>
      <c r="AR582">
        <v>25.657</v>
      </c>
      <c r="AS582">
        <v>30.097000000000001</v>
      </c>
      <c r="AT582">
        <v>30.884</v>
      </c>
      <c r="AU582">
        <v>30.379000000000001</v>
      </c>
      <c r="AV582">
        <v>30.207999999999998</v>
      </c>
      <c r="AW582">
        <v>29.96</v>
      </c>
    </row>
    <row r="583" spans="1:49" x14ac:dyDescent="0.35">
      <c r="A583" t="s">
        <v>206</v>
      </c>
      <c r="B583" t="s">
        <v>120</v>
      </c>
      <c r="C583" t="s">
        <v>121</v>
      </c>
      <c r="D583" t="s">
        <v>31</v>
      </c>
      <c r="E583" t="s">
        <v>32</v>
      </c>
      <c r="F583" t="s">
        <v>211</v>
      </c>
      <c r="G583" t="s">
        <v>82</v>
      </c>
      <c r="H583" t="s">
        <v>82</v>
      </c>
      <c r="I583" t="s">
        <v>82</v>
      </c>
      <c r="J583" t="s">
        <v>82</v>
      </c>
      <c r="K583" t="s">
        <v>82</v>
      </c>
      <c r="L583" t="s">
        <v>82</v>
      </c>
      <c r="M583" t="s">
        <v>82</v>
      </c>
      <c r="N583" t="s">
        <v>82</v>
      </c>
      <c r="O583" t="s">
        <v>82</v>
      </c>
      <c r="P583" t="s">
        <v>82</v>
      </c>
      <c r="Q583" t="s">
        <v>82</v>
      </c>
      <c r="R583" t="s">
        <v>82</v>
      </c>
      <c r="S583" t="s">
        <v>82</v>
      </c>
      <c r="T583">
        <v>0.74299999999999999</v>
      </c>
      <c r="U583">
        <v>0.77</v>
      </c>
      <c r="V583">
        <v>0.877</v>
      </c>
      <c r="W583">
        <v>0.91300000000000003</v>
      </c>
      <c r="X583">
        <v>1.1359999999999999</v>
      </c>
      <c r="Y583">
        <v>1.538</v>
      </c>
      <c r="Z583">
        <v>1.8</v>
      </c>
      <c r="AA583">
        <v>2.19</v>
      </c>
      <c r="AB583">
        <v>2.8889999999999998</v>
      </c>
      <c r="AC583">
        <v>2.5870000000000002</v>
      </c>
      <c r="AD583">
        <v>2.9060000000000001</v>
      </c>
      <c r="AE583">
        <v>2.6890000000000001</v>
      </c>
      <c r="AF583">
        <v>2.7290000000000001</v>
      </c>
      <c r="AG583">
        <v>3.2519999999999998</v>
      </c>
      <c r="AH583">
        <v>3.94</v>
      </c>
      <c r="AI583">
        <v>3.972</v>
      </c>
      <c r="AJ583">
        <v>3.2029999999999998</v>
      </c>
      <c r="AK583">
        <v>4.5810000000000004</v>
      </c>
      <c r="AL583">
        <v>5.14</v>
      </c>
      <c r="AM583">
        <v>5.9240000000000004</v>
      </c>
      <c r="AN583">
        <v>6.6609999999999996</v>
      </c>
      <c r="AO583">
        <v>6.7839999999999998</v>
      </c>
      <c r="AP583">
        <v>9.5340000000000007</v>
      </c>
      <c r="AQ583">
        <v>14.222</v>
      </c>
      <c r="AR583">
        <v>18.486999999999998</v>
      </c>
      <c r="AS583">
        <v>21.832000000000001</v>
      </c>
      <c r="AT583">
        <v>23.463999999999999</v>
      </c>
      <c r="AU583">
        <v>23.696000000000002</v>
      </c>
      <c r="AV583">
        <v>25.033999999999999</v>
      </c>
      <c r="AW583">
        <v>26.454999999999998</v>
      </c>
    </row>
    <row r="584" spans="1:49" x14ac:dyDescent="0.35">
      <c r="A584" t="s">
        <v>206</v>
      </c>
      <c r="B584" t="s">
        <v>120</v>
      </c>
      <c r="C584" t="s">
        <v>121</v>
      </c>
      <c r="D584" t="s">
        <v>70</v>
      </c>
      <c r="F584" t="s">
        <v>122</v>
      </c>
      <c r="G584" t="s">
        <v>82</v>
      </c>
      <c r="H584" t="s">
        <v>82</v>
      </c>
      <c r="I584" t="s">
        <v>82</v>
      </c>
      <c r="J584" t="s">
        <v>82</v>
      </c>
      <c r="K584" t="s">
        <v>82</v>
      </c>
      <c r="L584" t="s">
        <v>82</v>
      </c>
      <c r="M584" t="s">
        <v>82</v>
      </c>
      <c r="N584" t="s">
        <v>82</v>
      </c>
      <c r="O584" t="s">
        <v>82</v>
      </c>
      <c r="P584" t="s">
        <v>82</v>
      </c>
      <c r="Q584" t="s">
        <v>82</v>
      </c>
      <c r="R584" t="s">
        <v>82</v>
      </c>
      <c r="S584" t="s">
        <v>82</v>
      </c>
      <c r="T584">
        <v>14.702999999999999</v>
      </c>
      <c r="U584">
        <v>12.721</v>
      </c>
      <c r="V584">
        <v>12.007</v>
      </c>
      <c r="W584">
        <v>11.028</v>
      </c>
      <c r="X584">
        <v>12.09</v>
      </c>
      <c r="Y584">
        <v>14.826000000000001</v>
      </c>
      <c r="Z584">
        <v>15.765000000000001</v>
      </c>
      <c r="AA584">
        <v>17.120999999999999</v>
      </c>
      <c r="AB584">
        <v>20.323</v>
      </c>
      <c r="AC584">
        <v>16.241</v>
      </c>
      <c r="AD584">
        <v>16.638000000000002</v>
      </c>
      <c r="AE584">
        <v>14.159000000000001</v>
      </c>
      <c r="AF584">
        <v>12.9</v>
      </c>
      <c r="AG584">
        <v>13.997999999999999</v>
      </c>
      <c r="AH584">
        <v>15.403</v>
      </c>
      <c r="AI584">
        <v>13.954000000000001</v>
      </c>
      <c r="AJ584">
        <v>10.23</v>
      </c>
      <c r="AK584">
        <v>13.654999999999999</v>
      </c>
      <c r="AL584">
        <v>14.163</v>
      </c>
      <c r="AM584">
        <v>14.831</v>
      </c>
      <c r="AN584">
        <v>15.257999999999999</v>
      </c>
      <c r="AO584">
        <v>14.279</v>
      </c>
      <c r="AP584">
        <v>18.510000000000002</v>
      </c>
      <c r="AQ584">
        <v>25.178999999999998</v>
      </c>
      <c r="AR584">
        <v>31.117000000000001</v>
      </c>
      <c r="AS584">
        <v>35.298999999999999</v>
      </c>
      <c r="AT584">
        <v>36.119999999999997</v>
      </c>
      <c r="AU584">
        <v>34.347999999999999</v>
      </c>
      <c r="AV584">
        <v>33.978000000000002</v>
      </c>
      <c r="AW584">
        <v>33.615000000000002</v>
      </c>
    </row>
    <row r="585" spans="1:49" x14ac:dyDescent="0.35">
      <c r="A585" t="s">
        <v>206</v>
      </c>
      <c r="B585" t="s">
        <v>123</v>
      </c>
      <c r="C585" t="s">
        <v>124</v>
      </c>
      <c r="D585" t="s">
        <v>31</v>
      </c>
      <c r="E585" t="s">
        <v>32</v>
      </c>
      <c r="F585" t="s">
        <v>211</v>
      </c>
      <c r="G585">
        <v>0.76600000000000001</v>
      </c>
      <c r="H585">
        <v>0.88</v>
      </c>
      <c r="I585">
        <v>1.01</v>
      </c>
      <c r="J585">
        <v>1.123</v>
      </c>
      <c r="K585">
        <v>1.2370000000000001</v>
      </c>
      <c r="L585">
        <v>1.357</v>
      </c>
      <c r="M585">
        <v>1.5469999999999999</v>
      </c>
      <c r="N585">
        <v>1.7989999999999999</v>
      </c>
      <c r="O585">
        <v>2.1680000000000001</v>
      </c>
      <c r="P585">
        <v>2.851</v>
      </c>
      <c r="Q585">
        <v>3.278</v>
      </c>
      <c r="R585">
        <v>3.7040000000000002</v>
      </c>
      <c r="S585">
        <v>4.2930000000000001</v>
      </c>
      <c r="T585">
        <v>5.0510000000000002</v>
      </c>
      <c r="U585">
        <v>6.05</v>
      </c>
      <c r="V585">
        <v>7.3029999999999999</v>
      </c>
      <c r="W585">
        <v>8.2759999999999998</v>
      </c>
      <c r="X585">
        <v>9.3989999999999991</v>
      </c>
      <c r="Y585">
        <v>10.372999999999999</v>
      </c>
      <c r="Z585">
        <v>11.414999999999999</v>
      </c>
      <c r="AA585">
        <v>12.794</v>
      </c>
      <c r="AB585">
        <v>14.215999999999999</v>
      </c>
      <c r="AC585">
        <v>15.93</v>
      </c>
      <c r="AD585">
        <v>17.466999999999999</v>
      </c>
      <c r="AE585">
        <v>18.992999999999999</v>
      </c>
      <c r="AF585">
        <v>21.152000000000001</v>
      </c>
      <c r="AG585">
        <v>23.228999999999999</v>
      </c>
      <c r="AH585">
        <v>25.579000000000001</v>
      </c>
      <c r="AI585">
        <v>28.465</v>
      </c>
      <c r="AJ585">
        <v>31.315000000000001</v>
      </c>
      <c r="AK585">
        <v>33.545999999999999</v>
      </c>
      <c r="AL585">
        <v>36.292999999999999</v>
      </c>
      <c r="AM585">
        <v>39.941000000000003</v>
      </c>
      <c r="AN585">
        <v>43.655999999999999</v>
      </c>
      <c r="AO585">
        <v>47.512</v>
      </c>
      <c r="AP585">
        <v>51.506</v>
      </c>
      <c r="AQ585">
        <v>56.481999999999999</v>
      </c>
      <c r="AR585">
        <v>59.41</v>
      </c>
      <c r="AS585">
        <v>61.847999999999999</v>
      </c>
      <c r="AT585">
        <v>64.962000000000003</v>
      </c>
      <c r="AU585">
        <v>68.986000000000004</v>
      </c>
      <c r="AV585">
        <v>73.677000000000007</v>
      </c>
      <c r="AW585">
        <v>78.700999999999993</v>
      </c>
    </row>
    <row r="586" spans="1:49" x14ac:dyDescent="0.35">
      <c r="A586" t="s">
        <v>206</v>
      </c>
      <c r="B586" t="s">
        <v>125</v>
      </c>
      <c r="C586" t="s">
        <v>126</v>
      </c>
      <c r="D586" t="s">
        <v>41</v>
      </c>
      <c r="E586" t="s">
        <v>32</v>
      </c>
      <c r="F586" t="s">
        <v>212</v>
      </c>
      <c r="G586">
        <v>-0.13</v>
      </c>
      <c r="H586">
        <v>-8.1000000000000003E-2</v>
      </c>
      <c r="I586">
        <v>-0.114</v>
      </c>
      <c r="J586">
        <v>-0.107</v>
      </c>
      <c r="K586">
        <v>-7.6999999999999999E-2</v>
      </c>
      <c r="L586">
        <v>-3.7999999999999999E-2</v>
      </c>
      <c r="M586">
        <v>1.0999999999999999E-2</v>
      </c>
      <c r="N586">
        <v>6.6000000000000003E-2</v>
      </c>
      <c r="O586">
        <v>9.5000000000000001E-2</v>
      </c>
      <c r="P586">
        <v>7.6999999999999999E-2</v>
      </c>
      <c r="Q586">
        <v>5.0999999999999997E-2</v>
      </c>
      <c r="R586">
        <v>4.7E-2</v>
      </c>
      <c r="S586">
        <v>-4.1000000000000002E-2</v>
      </c>
      <c r="T586">
        <v>-6.4000000000000001E-2</v>
      </c>
      <c r="U586">
        <v>2E-3</v>
      </c>
      <c r="V586">
        <v>-0.03</v>
      </c>
      <c r="W586">
        <v>-5.1999999999999998E-2</v>
      </c>
      <c r="X586">
        <v>-3.0000000000000001E-3</v>
      </c>
      <c r="Y586">
        <v>-9.2999999999999999E-2</v>
      </c>
      <c r="Z586">
        <v>-3.3000000000000002E-2</v>
      </c>
      <c r="AA586">
        <v>-4.5999999999999999E-2</v>
      </c>
      <c r="AB586">
        <v>8.9999999999999993E-3</v>
      </c>
      <c r="AC586">
        <v>3.3000000000000002E-2</v>
      </c>
      <c r="AD586">
        <v>8.8999999999999996E-2</v>
      </c>
      <c r="AE586">
        <v>7.0999999999999994E-2</v>
      </c>
      <c r="AF586">
        <v>-0.10299999999999999</v>
      </c>
      <c r="AG586">
        <v>-0.19700000000000001</v>
      </c>
      <c r="AH586">
        <v>-6.6000000000000003E-2</v>
      </c>
      <c r="AI586">
        <v>-0.23100000000000001</v>
      </c>
      <c r="AJ586">
        <v>-0.40699999999999997</v>
      </c>
      <c r="AK586">
        <v>-0.38800000000000001</v>
      </c>
      <c r="AL586">
        <v>-0.33900000000000002</v>
      </c>
      <c r="AM586">
        <v>0.155</v>
      </c>
      <c r="AN586">
        <v>0.23300000000000001</v>
      </c>
      <c r="AO586">
        <v>0.14499999999999999</v>
      </c>
      <c r="AP586">
        <v>0.42499999999999999</v>
      </c>
      <c r="AQ586">
        <v>2.5999999999999999E-2</v>
      </c>
      <c r="AR586">
        <v>-4.3999999999999997E-2</v>
      </c>
      <c r="AS586">
        <v>0.01</v>
      </c>
      <c r="AT586">
        <v>6.8000000000000005E-2</v>
      </c>
      <c r="AU586">
        <v>7.0999999999999994E-2</v>
      </c>
      <c r="AV586">
        <v>4.7E-2</v>
      </c>
      <c r="AW586">
        <v>5.5E-2</v>
      </c>
    </row>
    <row r="587" spans="1:49" x14ac:dyDescent="0.35">
      <c r="A587" t="s">
        <v>206</v>
      </c>
      <c r="B587" t="s">
        <v>125</v>
      </c>
      <c r="C587" t="s">
        <v>126</v>
      </c>
      <c r="D587" t="s">
        <v>70</v>
      </c>
      <c r="F587" t="s">
        <v>128</v>
      </c>
      <c r="G587">
        <v>-11.353999999999999</v>
      </c>
      <c r="H587">
        <v>-7.109</v>
      </c>
      <c r="I587">
        <v>-10.423999999999999</v>
      </c>
      <c r="J587">
        <v>-9.0329999999999995</v>
      </c>
      <c r="K587">
        <v>-7.7610000000000001</v>
      </c>
      <c r="L587">
        <v>-5.3860000000000001</v>
      </c>
      <c r="M587">
        <v>1.3979999999999999</v>
      </c>
      <c r="N587">
        <v>6.38</v>
      </c>
      <c r="O587">
        <v>9.1639999999999997</v>
      </c>
      <c r="P587">
        <v>7.3719999999999999</v>
      </c>
      <c r="Q587">
        <v>4.1269999999999998</v>
      </c>
      <c r="R587">
        <v>3.6509999999999998</v>
      </c>
      <c r="S587">
        <v>-2.8130000000000002</v>
      </c>
      <c r="T587">
        <v>-4.306</v>
      </c>
      <c r="U587">
        <v>0.115</v>
      </c>
      <c r="V587">
        <v>-1.524</v>
      </c>
      <c r="W587">
        <v>-2.7959999999999998</v>
      </c>
      <c r="X587">
        <v>-0.13800000000000001</v>
      </c>
      <c r="Y587">
        <v>-5.0910000000000002</v>
      </c>
      <c r="Z587">
        <v>-1.821</v>
      </c>
      <c r="AA587">
        <v>-2.552</v>
      </c>
      <c r="AB587">
        <v>0.56200000000000006</v>
      </c>
      <c r="AC587">
        <v>2.2490000000000001</v>
      </c>
      <c r="AD587">
        <v>3.9449999999999998</v>
      </c>
      <c r="AE587">
        <v>2.4940000000000002</v>
      </c>
      <c r="AF587">
        <v>-3.1640000000000001</v>
      </c>
      <c r="AG587">
        <v>-5.867</v>
      </c>
      <c r="AH587">
        <v>-1.859</v>
      </c>
      <c r="AI587">
        <v>-6.89</v>
      </c>
      <c r="AJ587">
        <v>-11.151999999999999</v>
      </c>
      <c r="AK587">
        <v>-8.6319999999999997</v>
      </c>
      <c r="AL587">
        <v>-6.9489999999999998</v>
      </c>
      <c r="AM587">
        <v>3.254</v>
      </c>
      <c r="AN587">
        <v>5.27</v>
      </c>
      <c r="AO587">
        <v>3.3679999999999999</v>
      </c>
      <c r="AP587">
        <v>10.826000000000001</v>
      </c>
      <c r="AQ587">
        <v>0.67900000000000005</v>
      </c>
      <c r="AR587">
        <v>-1.1040000000000001</v>
      </c>
      <c r="AS587">
        <v>0.24199999999999999</v>
      </c>
      <c r="AT587">
        <v>1.6719999999999999</v>
      </c>
      <c r="AU587">
        <v>1.714</v>
      </c>
      <c r="AV587">
        <v>1.1000000000000001</v>
      </c>
      <c r="AW587">
        <v>1.258</v>
      </c>
    </row>
    <row r="588" spans="1:49" x14ac:dyDescent="0.35">
      <c r="A588" t="s">
        <v>12</v>
      </c>
      <c r="B588" t="s">
        <v>29</v>
      </c>
      <c r="C588" t="s">
        <v>30</v>
      </c>
      <c r="D588" t="s">
        <v>31</v>
      </c>
      <c r="E588" t="s">
        <v>32</v>
      </c>
      <c r="F588" t="s">
        <v>213</v>
      </c>
      <c r="G588" s="27">
        <v>8663.02</v>
      </c>
      <c r="H588" s="27">
        <v>8706.34</v>
      </c>
      <c r="I588" s="27">
        <v>8758.58</v>
      </c>
      <c r="J588" s="27">
        <v>8968.7800000000007</v>
      </c>
      <c r="K588" s="27">
        <v>9273.7199999999993</v>
      </c>
      <c r="L588" s="27">
        <v>9700.31</v>
      </c>
      <c r="M588" s="27">
        <v>10340.530000000001</v>
      </c>
      <c r="N588" s="27">
        <v>10950.62</v>
      </c>
      <c r="O588" s="27">
        <v>11432.45</v>
      </c>
      <c r="P588" s="27">
        <v>11866.89</v>
      </c>
      <c r="Q588" s="27">
        <v>12702.93</v>
      </c>
      <c r="R588" s="27">
        <v>12966.11</v>
      </c>
      <c r="S588" s="27">
        <v>13041.82</v>
      </c>
      <c r="T588" s="27">
        <v>13199.14</v>
      </c>
      <c r="U588" s="27">
        <v>13405.97</v>
      </c>
      <c r="V588" s="27">
        <v>13884.63</v>
      </c>
      <c r="W588" s="27">
        <v>14515.61</v>
      </c>
      <c r="X588" s="27">
        <v>15027.33</v>
      </c>
      <c r="Y588" s="27">
        <v>15584.61</v>
      </c>
      <c r="Z588" s="27">
        <v>16338.97</v>
      </c>
      <c r="AA588" s="27">
        <v>17145.099999999999</v>
      </c>
      <c r="AB588" s="27">
        <v>18173.439999999999</v>
      </c>
      <c r="AC588" s="27">
        <v>19427.2</v>
      </c>
      <c r="AD588" s="27">
        <v>20662.45</v>
      </c>
      <c r="AE588" s="27">
        <v>22152.36</v>
      </c>
      <c r="AF588" s="27">
        <v>23582.240000000002</v>
      </c>
      <c r="AG588" s="27">
        <v>24681.31</v>
      </c>
      <c r="AH588" s="27">
        <v>26770.43</v>
      </c>
      <c r="AI588" s="27">
        <v>28260.63</v>
      </c>
      <c r="AJ588" s="27">
        <v>29781.72</v>
      </c>
      <c r="AK588" s="27">
        <v>31675.5</v>
      </c>
      <c r="AL588" s="27">
        <v>34179.300000000003</v>
      </c>
      <c r="AM588" s="27">
        <v>35936.46</v>
      </c>
      <c r="AN588" s="27">
        <v>38546.550000000003</v>
      </c>
      <c r="AO588" s="27">
        <v>41231.360000000001</v>
      </c>
      <c r="AP588" s="27">
        <v>44098.71</v>
      </c>
      <c r="AQ588" s="27">
        <v>47164.9</v>
      </c>
      <c r="AR588" s="27">
        <v>50229.7</v>
      </c>
      <c r="AS588" s="27">
        <v>53656.17</v>
      </c>
      <c r="AT588" s="27">
        <v>57297.41</v>
      </c>
      <c r="AU588" s="27">
        <v>61181.04</v>
      </c>
      <c r="AV588" s="27">
        <v>65235.87</v>
      </c>
      <c r="AW588" s="27">
        <v>69509.279999999999</v>
      </c>
    </row>
    <row r="589" spans="1:49" x14ac:dyDescent="0.35">
      <c r="A589" t="s">
        <v>12</v>
      </c>
      <c r="B589" t="s">
        <v>29</v>
      </c>
      <c r="C589" t="s">
        <v>34</v>
      </c>
      <c r="D589" t="s">
        <v>35</v>
      </c>
      <c r="F589" t="s">
        <v>36</v>
      </c>
      <c r="G589">
        <v>3.266</v>
      </c>
      <c r="H589">
        <v>0.5</v>
      </c>
      <c r="I589">
        <v>0.6</v>
      </c>
      <c r="J589">
        <v>2.4</v>
      </c>
      <c r="K589">
        <v>3.4</v>
      </c>
      <c r="L589">
        <v>4.5999999999999996</v>
      </c>
      <c r="M589">
        <v>6.6</v>
      </c>
      <c r="N589">
        <v>5.9</v>
      </c>
      <c r="O589">
        <v>4.4000000000000004</v>
      </c>
      <c r="P589">
        <v>3.8</v>
      </c>
      <c r="Q589">
        <v>7.0449999999999999</v>
      </c>
      <c r="R589">
        <v>2.0720000000000001</v>
      </c>
      <c r="S589">
        <v>0.58399999999999996</v>
      </c>
      <c r="T589">
        <v>1.206</v>
      </c>
      <c r="U589">
        <v>1.5669999999999999</v>
      </c>
      <c r="V589">
        <v>3.5710000000000002</v>
      </c>
      <c r="W589">
        <v>4.5439999999999996</v>
      </c>
      <c r="X589">
        <v>3.5249999999999999</v>
      </c>
      <c r="Y589">
        <v>3.7080000000000002</v>
      </c>
      <c r="Z589">
        <v>4.84</v>
      </c>
      <c r="AA589">
        <v>4.9340000000000002</v>
      </c>
      <c r="AB589">
        <v>5.9980000000000002</v>
      </c>
      <c r="AC589">
        <v>6.899</v>
      </c>
      <c r="AD589">
        <v>6.3579999999999997</v>
      </c>
      <c r="AE589">
        <v>7.2110000000000003</v>
      </c>
      <c r="AF589">
        <v>6.4550000000000001</v>
      </c>
      <c r="AG589">
        <v>4.6609999999999996</v>
      </c>
      <c r="AH589">
        <v>8.4640000000000004</v>
      </c>
      <c r="AI589">
        <v>5.5670000000000002</v>
      </c>
      <c r="AJ589">
        <v>5.3819999999999997</v>
      </c>
      <c r="AK589">
        <v>6.359</v>
      </c>
      <c r="AL589">
        <v>7.9050000000000002</v>
      </c>
      <c r="AM589">
        <v>5.141</v>
      </c>
      <c r="AN589">
        <v>7.2629999999999999</v>
      </c>
      <c r="AO589">
        <v>6.9649999999999999</v>
      </c>
      <c r="AP589">
        <v>6.9539999999999997</v>
      </c>
      <c r="AQ589">
        <v>6.9530000000000003</v>
      </c>
      <c r="AR589">
        <v>6.4980000000000002</v>
      </c>
      <c r="AS589">
        <v>6.8220000000000001</v>
      </c>
      <c r="AT589">
        <v>6.7859999999999996</v>
      </c>
      <c r="AU589">
        <v>6.7779999999999996</v>
      </c>
      <c r="AV589">
        <v>6.6280000000000001</v>
      </c>
      <c r="AW589">
        <v>6.5510000000000002</v>
      </c>
    </row>
    <row r="590" spans="1:49" x14ac:dyDescent="0.35">
      <c r="A590" t="s">
        <v>12</v>
      </c>
      <c r="B590" t="s">
        <v>37</v>
      </c>
      <c r="C590" t="s">
        <v>38</v>
      </c>
      <c r="D590" t="s">
        <v>31</v>
      </c>
      <c r="E590" t="s">
        <v>32</v>
      </c>
      <c r="F590" t="s">
        <v>213</v>
      </c>
      <c r="G590">
        <v>60.853999999999999</v>
      </c>
      <c r="H590">
        <v>72.757000000000005</v>
      </c>
      <c r="I590">
        <v>88.007000000000005</v>
      </c>
      <c r="J590">
        <v>101.76300000000001</v>
      </c>
      <c r="K590">
        <v>119.929</v>
      </c>
      <c r="L590">
        <v>152.97900000000001</v>
      </c>
      <c r="M590">
        <v>201.75</v>
      </c>
      <c r="N590">
        <v>272.73200000000003</v>
      </c>
      <c r="O590">
        <v>421.62299999999999</v>
      </c>
      <c r="P590">
        <v>518.61400000000003</v>
      </c>
      <c r="Q590">
        <v>669.125</v>
      </c>
      <c r="R590">
        <v>883.53300000000002</v>
      </c>
      <c r="S590" s="27">
        <v>1101.48</v>
      </c>
      <c r="T590" s="27">
        <v>1382.69</v>
      </c>
      <c r="U590" s="27">
        <v>1848.26</v>
      </c>
      <c r="V590" s="27">
        <v>2443.1</v>
      </c>
      <c r="W590" s="27">
        <v>3080.12</v>
      </c>
      <c r="X590" s="27">
        <v>3926.47</v>
      </c>
      <c r="Y590" s="27">
        <v>6283.97</v>
      </c>
      <c r="Z590" s="27">
        <v>8656.9</v>
      </c>
      <c r="AA590" s="27">
        <v>9943.5300000000007</v>
      </c>
      <c r="AB590" s="27">
        <v>11168.02</v>
      </c>
      <c r="AC590" s="27">
        <v>12774.36</v>
      </c>
      <c r="AD590" s="27">
        <v>14722.92</v>
      </c>
      <c r="AE590" s="27">
        <v>16936.09</v>
      </c>
      <c r="AF590" s="27">
        <v>19112.830000000002</v>
      </c>
      <c r="AG590" s="27">
        <v>23298.44</v>
      </c>
      <c r="AH590" s="27">
        <v>26770.43</v>
      </c>
      <c r="AI590" s="27">
        <v>32764.94</v>
      </c>
      <c r="AJ590" s="27">
        <v>37726.82</v>
      </c>
      <c r="AK590" s="27">
        <v>43836.02</v>
      </c>
      <c r="AL590" s="27">
        <v>52762.58</v>
      </c>
      <c r="AM590" s="27">
        <v>61434.21</v>
      </c>
      <c r="AN590" s="27">
        <v>70953.23</v>
      </c>
      <c r="AO590" s="27">
        <v>79718.42</v>
      </c>
      <c r="AP590" s="27">
        <v>90844.81</v>
      </c>
      <c r="AQ590" s="27">
        <v>103744.62</v>
      </c>
      <c r="AR590" s="27">
        <v>116159.33</v>
      </c>
      <c r="AS590" s="27">
        <v>130287.42</v>
      </c>
      <c r="AT590" s="27">
        <v>146085.63</v>
      </c>
      <c r="AU590" s="27">
        <v>163786.17000000001</v>
      </c>
      <c r="AV590" s="27">
        <v>183373.32</v>
      </c>
      <c r="AW590" s="27">
        <v>205154.85</v>
      </c>
    </row>
    <row r="591" spans="1:49" x14ac:dyDescent="0.35">
      <c r="A591" t="s">
        <v>12</v>
      </c>
      <c r="B591" t="s">
        <v>37</v>
      </c>
      <c r="C591" t="s">
        <v>40</v>
      </c>
      <c r="D591" t="s">
        <v>41</v>
      </c>
      <c r="E591" t="s">
        <v>32</v>
      </c>
      <c r="F591" t="s">
        <v>42</v>
      </c>
      <c r="G591">
        <v>7.4119999999999999</v>
      </c>
      <c r="H591">
        <v>8.8650000000000002</v>
      </c>
      <c r="I591">
        <v>10.178000000000001</v>
      </c>
      <c r="J591">
        <v>10.425000000000001</v>
      </c>
      <c r="K591">
        <v>9.4849999999999994</v>
      </c>
      <c r="L591">
        <v>8.5579999999999998</v>
      </c>
      <c r="M591">
        <v>10.82</v>
      </c>
      <c r="N591">
        <v>5.3310000000000004</v>
      </c>
      <c r="O591">
        <v>5.1239999999999997</v>
      </c>
      <c r="P591">
        <v>4.343</v>
      </c>
      <c r="Q591">
        <v>3.43</v>
      </c>
      <c r="R591">
        <v>4.0309999999999997</v>
      </c>
      <c r="S591">
        <v>3.7</v>
      </c>
      <c r="T591">
        <v>3.4119999999999999</v>
      </c>
      <c r="U591">
        <v>3.6269999999999998</v>
      </c>
      <c r="V591">
        <v>4.2510000000000003</v>
      </c>
      <c r="W591">
        <v>5.3109999999999999</v>
      </c>
      <c r="X591">
        <v>6.415</v>
      </c>
      <c r="Y591">
        <v>9.4540000000000006</v>
      </c>
      <c r="Z591">
        <v>11.624000000000001</v>
      </c>
      <c r="AA591">
        <v>12.423</v>
      </c>
      <c r="AB591">
        <v>12.743</v>
      </c>
      <c r="AC591">
        <v>13.215999999999999</v>
      </c>
      <c r="AD591">
        <v>14.178000000000001</v>
      </c>
      <c r="AE591">
        <v>15.547000000000001</v>
      </c>
      <c r="AF591">
        <v>16.93</v>
      </c>
      <c r="AG591">
        <v>18.61</v>
      </c>
      <c r="AH591">
        <v>21.501999999999999</v>
      </c>
      <c r="AI591">
        <v>27.367999999999999</v>
      </c>
      <c r="AJ591">
        <v>28.574000000000002</v>
      </c>
      <c r="AK591">
        <v>31.085999999999999</v>
      </c>
      <c r="AL591">
        <v>33.582999999999998</v>
      </c>
      <c r="AM591">
        <v>39.088000000000001</v>
      </c>
      <c r="AN591">
        <v>44.414000000000001</v>
      </c>
      <c r="AO591">
        <v>48.256</v>
      </c>
      <c r="AP591">
        <v>45.624000000000002</v>
      </c>
      <c r="AQ591">
        <v>47.652000000000001</v>
      </c>
      <c r="AR591">
        <v>51.613999999999997</v>
      </c>
      <c r="AS591">
        <v>56.581000000000003</v>
      </c>
      <c r="AT591">
        <v>61.677</v>
      </c>
      <c r="AU591">
        <v>67.150000000000006</v>
      </c>
      <c r="AV591">
        <v>73.004999999999995</v>
      </c>
      <c r="AW591">
        <v>79.314999999999998</v>
      </c>
    </row>
    <row r="592" spans="1:49" x14ac:dyDescent="0.35">
      <c r="A592" t="s">
        <v>12</v>
      </c>
      <c r="B592" t="s">
        <v>37</v>
      </c>
      <c r="C592" t="s">
        <v>43</v>
      </c>
      <c r="D592" t="s">
        <v>44</v>
      </c>
      <c r="E592" t="s">
        <v>32</v>
      </c>
      <c r="F592" t="s">
        <v>42</v>
      </c>
      <c r="G592">
        <v>10.994</v>
      </c>
      <c r="H592">
        <v>12.081</v>
      </c>
      <c r="I592">
        <v>12.907999999999999</v>
      </c>
      <c r="J592">
        <v>13.739000000000001</v>
      </c>
      <c r="K592">
        <v>14.71</v>
      </c>
      <c r="L592">
        <v>15.879</v>
      </c>
      <c r="M592">
        <v>17.268999999999998</v>
      </c>
      <c r="N592">
        <v>18.754000000000001</v>
      </c>
      <c r="O592">
        <v>20.265000000000001</v>
      </c>
      <c r="P592">
        <v>21.853000000000002</v>
      </c>
      <c r="Q592">
        <v>24.257999999999999</v>
      </c>
      <c r="R592">
        <v>25.584</v>
      </c>
      <c r="S592">
        <v>26.321000000000002</v>
      </c>
      <c r="T592">
        <v>27.271999999999998</v>
      </c>
      <c r="U592">
        <v>28.289000000000001</v>
      </c>
      <c r="V592">
        <v>29.91</v>
      </c>
      <c r="W592">
        <v>31.84</v>
      </c>
      <c r="X592">
        <v>33.526000000000003</v>
      </c>
      <c r="Y592">
        <v>35.146999999999998</v>
      </c>
      <c r="Z592">
        <v>37.411999999999999</v>
      </c>
      <c r="AA592">
        <v>40.151000000000003</v>
      </c>
      <c r="AB592">
        <v>43.529000000000003</v>
      </c>
      <c r="AC592">
        <v>47.247</v>
      </c>
      <c r="AD592">
        <v>51.253</v>
      </c>
      <c r="AE592">
        <v>56.46</v>
      </c>
      <c r="AF592">
        <v>62.037999999999997</v>
      </c>
      <c r="AG592">
        <v>66.924000000000007</v>
      </c>
      <c r="AH592">
        <v>74.52</v>
      </c>
      <c r="AI592">
        <v>80.212000000000003</v>
      </c>
      <c r="AJ592">
        <v>85.171000000000006</v>
      </c>
      <c r="AK592">
        <v>91.694000000000003</v>
      </c>
      <c r="AL592">
        <v>100.98399999999999</v>
      </c>
      <c r="AM592">
        <v>108.13200000000001</v>
      </c>
      <c r="AN592">
        <v>117.858</v>
      </c>
      <c r="AO592">
        <v>128.33000000000001</v>
      </c>
      <c r="AP592">
        <v>138.74299999999999</v>
      </c>
      <c r="AQ592">
        <v>150.28299999999999</v>
      </c>
      <c r="AR592">
        <v>162.83600000000001</v>
      </c>
      <c r="AS592">
        <v>177.321</v>
      </c>
      <c r="AT592">
        <v>193.39500000000001</v>
      </c>
      <c r="AU592">
        <v>210.84700000000001</v>
      </c>
      <c r="AV592">
        <v>229.49</v>
      </c>
      <c r="AW592">
        <v>249.22900000000001</v>
      </c>
    </row>
    <row r="593" spans="1:49" x14ac:dyDescent="0.35">
      <c r="A593" t="s">
        <v>12</v>
      </c>
      <c r="B593" t="s">
        <v>45</v>
      </c>
      <c r="C593" t="s">
        <v>46</v>
      </c>
      <c r="D593" t="s">
        <v>47</v>
      </c>
      <c r="F593" t="s">
        <v>48</v>
      </c>
      <c r="G593">
        <v>0.70199999999999996</v>
      </c>
      <c r="H593">
        <v>0.83599999999999997</v>
      </c>
      <c r="I593">
        <v>1.0049999999999999</v>
      </c>
      <c r="J593">
        <v>1.135</v>
      </c>
      <c r="K593">
        <v>1.2929999999999999</v>
      </c>
      <c r="L593">
        <v>1.577</v>
      </c>
      <c r="M593">
        <v>1.9510000000000001</v>
      </c>
      <c r="N593">
        <v>2.4910000000000001</v>
      </c>
      <c r="O593">
        <v>3.6880000000000002</v>
      </c>
      <c r="P593">
        <v>4.37</v>
      </c>
      <c r="Q593">
        <v>5.2670000000000003</v>
      </c>
      <c r="R593">
        <v>6.8140000000000001</v>
      </c>
      <c r="S593">
        <v>8.4459999999999997</v>
      </c>
      <c r="T593">
        <v>10.476000000000001</v>
      </c>
      <c r="U593">
        <v>13.787000000000001</v>
      </c>
      <c r="V593">
        <v>17.596</v>
      </c>
      <c r="W593">
        <v>21.219000000000001</v>
      </c>
      <c r="X593">
        <v>26.129000000000001</v>
      </c>
      <c r="Y593">
        <v>40.322000000000003</v>
      </c>
      <c r="Z593">
        <v>52.982999999999997</v>
      </c>
      <c r="AA593">
        <v>57.996000000000002</v>
      </c>
      <c r="AB593">
        <v>61.451999999999998</v>
      </c>
      <c r="AC593">
        <v>65.754999999999995</v>
      </c>
      <c r="AD593">
        <v>71.254000000000005</v>
      </c>
      <c r="AE593">
        <v>76.453000000000003</v>
      </c>
      <c r="AF593">
        <v>81.048000000000002</v>
      </c>
      <c r="AG593">
        <v>94.397000000000006</v>
      </c>
      <c r="AH593">
        <v>100</v>
      </c>
      <c r="AI593">
        <v>115.938</v>
      </c>
      <c r="AJ593">
        <v>126.678</v>
      </c>
      <c r="AK593">
        <v>138.39099999999999</v>
      </c>
      <c r="AL593">
        <v>154.37</v>
      </c>
      <c r="AM593">
        <v>170.952</v>
      </c>
      <c r="AN593">
        <v>184.072</v>
      </c>
      <c r="AO593">
        <v>193.34399999999999</v>
      </c>
      <c r="AP593">
        <v>206.00299999999999</v>
      </c>
      <c r="AQ593">
        <v>219.96100000000001</v>
      </c>
      <c r="AR593">
        <v>231.256</v>
      </c>
      <c r="AS593">
        <v>242.81899999999999</v>
      </c>
      <c r="AT593">
        <v>254.96</v>
      </c>
      <c r="AU593">
        <v>267.70699999999999</v>
      </c>
      <c r="AV593">
        <v>281.09300000000002</v>
      </c>
      <c r="AW593">
        <v>295.14699999999999</v>
      </c>
    </row>
    <row r="594" spans="1:49" x14ac:dyDescent="0.35">
      <c r="A594" t="s">
        <v>12</v>
      </c>
      <c r="B594" t="s">
        <v>49</v>
      </c>
      <c r="C594" t="s">
        <v>50</v>
      </c>
      <c r="D594" t="s">
        <v>31</v>
      </c>
      <c r="E594" t="s">
        <v>26</v>
      </c>
      <c r="F594" t="s">
        <v>51</v>
      </c>
      <c r="G594" s="27">
        <v>465453.67</v>
      </c>
      <c r="H594" s="27">
        <v>454117.4</v>
      </c>
      <c r="I594" s="27">
        <v>443876.79</v>
      </c>
      <c r="J594" s="27">
        <v>441986.13</v>
      </c>
      <c r="K594" s="27">
        <v>444740.13</v>
      </c>
      <c r="L594" s="27">
        <v>453031.59</v>
      </c>
      <c r="M594" s="27">
        <v>470623.2</v>
      </c>
      <c r="N594" s="27">
        <v>486003.22</v>
      </c>
      <c r="O594" s="27">
        <v>495018.49</v>
      </c>
      <c r="P594" s="27">
        <v>496405.78</v>
      </c>
      <c r="Q594" s="27">
        <v>513950.75</v>
      </c>
      <c r="R594" s="27">
        <v>507940.13</v>
      </c>
      <c r="S594" s="27">
        <v>495181.59</v>
      </c>
      <c r="T594" s="27">
        <v>486190.71</v>
      </c>
      <c r="U594" s="27">
        <v>479492.21</v>
      </c>
      <c r="V594" s="27">
        <v>482619.74</v>
      </c>
      <c r="W594" s="27">
        <v>490725.23</v>
      </c>
      <c r="X594" s="27">
        <v>494473.97</v>
      </c>
      <c r="Y594" s="27">
        <v>499488.41</v>
      </c>
      <c r="Z594" s="27">
        <v>510405.16</v>
      </c>
      <c r="AA594" s="27">
        <v>522360.16</v>
      </c>
      <c r="AB594" s="27">
        <v>540345.69999999995</v>
      </c>
      <c r="AC594" s="27">
        <v>564029.15</v>
      </c>
      <c r="AD594" s="27">
        <v>582169.9</v>
      </c>
      <c r="AE594" s="27">
        <v>606238.61</v>
      </c>
      <c r="AF594" s="27">
        <v>627367.56999999995</v>
      </c>
      <c r="AG594" s="27">
        <v>638787.81000000006</v>
      </c>
      <c r="AH594" s="27">
        <v>674551.59</v>
      </c>
      <c r="AI594" s="27">
        <v>693771.34</v>
      </c>
      <c r="AJ594" s="27">
        <v>712765.61</v>
      </c>
      <c r="AK594" s="27">
        <v>739531.39</v>
      </c>
      <c r="AL594" s="27">
        <v>778919.6</v>
      </c>
      <c r="AM594" s="27">
        <v>799851.34</v>
      </c>
      <c r="AN594" s="27">
        <v>841122.57</v>
      </c>
      <c r="AO594" s="27">
        <v>882066.55</v>
      </c>
      <c r="AP594" s="27">
        <v>924909.83</v>
      </c>
      <c r="AQ594" s="27">
        <v>969822.46</v>
      </c>
      <c r="AR594" s="27">
        <v>1012590.16</v>
      </c>
      <c r="AS594" s="27">
        <v>1060455.8999999999</v>
      </c>
      <c r="AT594" s="27">
        <v>1110216.76</v>
      </c>
      <c r="AU594" s="27">
        <v>1162222.99</v>
      </c>
      <c r="AV594" s="27">
        <v>1214951.3700000001</v>
      </c>
      <c r="AW594" s="27">
        <v>1269156.22</v>
      </c>
    </row>
    <row r="595" spans="1:49" x14ac:dyDescent="0.35">
      <c r="A595" t="s">
        <v>12</v>
      </c>
      <c r="B595" t="s">
        <v>49</v>
      </c>
      <c r="C595" t="s">
        <v>52</v>
      </c>
      <c r="D595" t="s">
        <v>53</v>
      </c>
      <c r="E595" t="s">
        <v>26</v>
      </c>
      <c r="F595" t="s">
        <v>51</v>
      </c>
      <c r="G595" s="27">
        <v>1375.2</v>
      </c>
      <c r="H595" s="27">
        <v>1341.71</v>
      </c>
      <c r="I595" s="27">
        <v>1311.45</v>
      </c>
      <c r="J595" s="27">
        <v>1305.8699999999999</v>
      </c>
      <c r="K595" s="27">
        <v>1314.01</v>
      </c>
      <c r="L595" s="27">
        <v>1338.5</v>
      </c>
      <c r="M595" s="27">
        <v>1390.48</v>
      </c>
      <c r="N595" s="27">
        <v>1435.92</v>
      </c>
      <c r="O595" s="27">
        <v>1462.55</v>
      </c>
      <c r="P595" s="27">
        <v>1466.65</v>
      </c>
      <c r="Q595" s="27">
        <v>1518.49</v>
      </c>
      <c r="R595" s="27">
        <v>1500.73</v>
      </c>
      <c r="S595" s="27">
        <v>1463.04</v>
      </c>
      <c r="T595" s="27">
        <v>1436.47</v>
      </c>
      <c r="U595" s="27">
        <v>1416.68</v>
      </c>
      <c r="V595" s="27">
        <v>1425.92</v>
      </c>
      <c r="W595" s="27">
        <v>1449.87</v>
      </c>
      <c r="X595" s="27">
        <v>1460.95</v>
      </c>
      <c r="Y595" s="27">
        <v>1475.76</v>
      </c>
      <c r="Z595" s="27">
        <v>1508.02</v>
      </c>
      <c r="AA595" s="27">
        <v>1543.34</v>
      </c>
      <c r="AB595" s="27">
        <v>1596.48</v>
      </c>
      <c r="AC595" s="27">
        <v>1666.45</v>
      </c>
      <c r="AD595" s="27">
        <v>1720.05</v>
      </c>
      <c r="AE595" s="27">
        <v>1791.16</v>
      </c>
      <c r="AF595" s="27">
        <v>1853.59</v>
      </c>
      <c r="AG595" s="27">
        <v>1887.33</v>
      </c>
      <c r="AH595" s="27">
        <v>1992.99</v>
      </c>
      <c r="AI595" s="27">
        <v>2049.7800000000002</v>
      </c>
      <c r="AJ595" s="27">
        <v>2105.9</v>
      </c>
      <c r="AK595" s="27">
        <v>2184.98</v>
      </c>
      <c r="AL595" s="27">
        <v>2301.35</v>
      </c>
      <c r="AM595" s="27">
        <v>2363.1999999999998</v>
      </c>
      <c r="AN595" s="27">
        <v>2485.13</v>
      </c>
      <c r="AO595" s="27">
        <v>2606.11</v>
      </c>
      <c r="AP595" s="27">
        <v>2732.69</v>
      </c>
      <c r="AQ595" s="27">
        <v>2865.38</v>
      </c>
      <c r="AR595" s="27">
        <v>2991.74</v>
      </c>
      <c r="AS595" s="27">
        <v>3133.16</v>
      </c>
      <c r="AT595" s="27">
        <v>3280.19</v>
      </c>
      <c r="AU595" s="27">
        <v>3433.84</v>
      </c>
      <c r="AV595" s="27">
        <v>3589.63</v>
      </c>
      <c r="AW595" s="27">
        <v>3749.78</v>
      </c>
    </row>
    <row r="596" spans="1:49" x14ac:dyDescent="0.35">
      <c r="A596" t="s">
        <v>12</v>
      </c>
      <c r="B596" t="s">
        <v>54</v>
      </c>
      <c r="C596" t="s">
        <v>55</v>
      </c>
      <c r="D596" t="s">
        <v>31</v>
      </c>
      <c r="E596" t="s">
        <v>26</v>
      </c>
      <c r="F596" t="s">
        <v>56</v>
      </c>
      <c r="G596" s="27">
        <v>3269.6</v>
      </c>
      <c r="H596" s="27">
        <v>3794.95</v>
      </c>
      <c r="I596" s="27">
        <v>4460.12</v>
      </c>
      <c r="J596" s="27">
        <v>5014.9399999999996</v>
      </c>
      <c r="K596" s="27">
        <v>5751.44</v>
      </c>
      <c r="L596" s="27">
        <v>7144.54</v>
      </c>
      <c r="M596" s="27">
        <v>9182.16</v>
      </c>
      <c r="N596" s="27">
        <v>12104.21</v>
      </c>
      <c r="O596" s="27">
        <v>18256.03</v>
      </c>
      <c r="P596" s="27">
        <v>21694.23</v>
      </c>
      <c r="Q596" s="27">
        <v>27072.29</v>
      </c>
      <c r="R596" s="27">
        <v>34611.919999999998</v>
      </c>
      <c r="S596" s="27">
        <v>41821.61</v>
      </c>
      <c r="T596" s="27">
        <v>50931.31</v>
      </c>
      <c r="U596" s="27">
        <v>66106.679999999993</v>
      </c>
      <c r="V596" s="27">
        <v>84920.52</v>
      </c>
      <c r="W596" s="27">
        <v>104128.9</v>
      </c>
      <c r="X596" s="27">
        <v>129200.58</v>
      </c>
      <c r="Y596" s="27">
        <v>201401.9</v>
      </c>
      <c r="Z596" s="27">
        <v>270428.71999999997</v>
      </c>
      <c r="AA596" s="27">
        <v>302949.62</v>
      </c>
      <c r="AB596" s="27">
        <v>332055.52</v>
      </c>
      <c r="AC596" s="27">
        <v>370877.55</v>
      </c>
      <c r="AD596" s="27">
        <v>414821.98</v>
      </c>
      <c r="AE596" s="27">
        <v>463485.99</v>
      </c>
      <c r="AF596" s="27">
        <v>508466</v>
      </c>
      <c r="AG596" s="27">
        <v>602996.99</v>
      </c>
      <c r="AH596" s="27">
        <v>674551.59</v>
      </c>
      <c r="AI596" s="27">
        <v>804347.72</v>
      </c>
      <c r="AJ596" s="27">
        <v>902915.74</v>
      </c>
      <c r="AK596" s="27">
        <v>1023444.21</v>
      </c>
      <c r="AL596" s="27">
        <v>1202418.2</v>
      </c>
      <c r="AM596" s="27">
        <v>1367364.49</v>
      </c>
      <c r="AN596" s="27">
        <v>1548267.42</v>
      </c>
      <c r="AO596" s="27">
        <v>1705423.76</v>
      </c>
      <c r="AP596" s="27">
        <v>1905344.92</v>
      </c>
      <c r="AQ596" s="27">
        <v>2133235.9500000002</v>
      </c>
      <c r="AR596" s="27">
        <v>2341678.2799999998</v>
      </c>
      <c r="AS596" s="27">
        <v>2574989.35</v>
      </c>
      <c r="AT596" s="27">
        <v>2830611.61</v>
      </c>
      <c r="AU596" s="27">
        <v>3111357.05</v>
      </c>
      <c r="AV596" s="27">
        <v>3415140.56</v>
      </c>
      <c r="AW596" s="27">
        <v>3745881.82</v>
      </c>
    </row>
    <row r="597" spans="1:49" x14ac:dyDescent="0.35">
      <c r="A597" t="s">
        <v>12</v>
      </c>
      <c r="B597" t="s">
        <v>54</v>
      </c>
      <c r="C597" t="s">
        <v>57</v>
      </c>
      <c r="D597" t="s">
        <v>41</v>
      </c>
      <c r="E597" t="s">
        <v>26</v>
      </c>
      <c r="F597" t="s">
        <v>56</v>
      </c>
      <c r="G597">
        <v>398.21300000000002</v>
      </c>
      <c r="H597">
        <v>462.38400000000001</v>
      </c>
      <c r="I597">
        <v>515.82399999999996</v>
      </c>
      <c r="J597">
        <v>513.72900000000004</v>
      </c>
      <c r="K597">
        <v>454.85</v>
      </c>
      <c r="L597">
        <v>399.69400000000002</v>
      </c>
      <c r="M597">
        <v>492.45100000000002</v>
      </c>
      <c r="N597">
        <v>236.583</v>
      </c>
      <c r="O597">
        <v>221.86099999999999</v>
      </c>
      <c r="P597">
        <v>181.65799999999999</v>
      </c>
      <c r="Q597">
        <v>138.792</v>
      </c>
      <c r="R597">
        <v>157.93199999999999</v>
      </c>
      <c r="S597">
        <v>140.47900000000001</v>
      </c>
      <c r="T597">
        <v>125.67100000000001</v>
      </c>
      <c r="U597">
        <v>129.715</v>
      </c>
      <c r="V597">
        <v>147.749</v>
      </c>
      <c r="W597">
        <v>179.54</v>
      </c>
      <c r="X597">
        <v>211.07</v>
      </c>
      <c r="Y597">
        <v>303.01</v>
      </c>
      <c r="Z597">
        <v>363.10899999999998</v>
      </c>
      <c r="AA597">
        <v>378.49400000000003</v>
      </c>
      <c r="AB597">
        <v>378.88099999999997</v>
      </c>
      <c r="AC597">
        <v>383.7</v>
      </c>
      <c r="AD597">
        <v>399.47500000000002</v>
      </c>
      <c r="AE597">
        <v>425.476</v>
      </c>
      <c r="AF597">
        <v>450.39499999999998</v>
      </c>
      <c r="AG597">
        <v>481.66500000000002</v>
      </c>
      <c r="AH597">
        <v>541.79300000000001</v>
      </c>
      <c r="AI597">
        <v>671.86800000000005</v>
      </c>
      <c r="AJ597">
        <v>683.85599999999999</v>
      </c>
      <c r="AK597">
        <v>725.76499999999999</v>
      </c>
      <c r="AL597">
        <v>765.33299999999997</v>
      </c>
      <c r="AM597">
        <v>869.99099999999999</v>
      </c>
      <c r="AN597">
        <v>969.14800000000002</v>
      </c>
      <c r="AO597" s="27">
        <v>1032.3399999999999</v>
      </c>
      <c r="AP597">
        <v>956.90599999999995</v>
      </c>
      <c r="AQ597">
        <v>979.84500000000003</v>
      </c>
      <c r="AR597" s="27">
        <v>1040.51</v>
      </c>
      <c r="AS597" s="27">
        <v>1118.25</v>
      </c>
      <c r="AT597" s="27">
        <v>1195.0899999999999</v>
      </c>
      <c r="AU597" s="27">
        <v>1275.6099999999999</v>
      </c>
      <c r="AV597" s="27">
        <v>1359.65</v>
      </c>
      <c r="AW597" s="27">
        <v>1448.19</v>
      </c>
    </row>
    <row r="598" spans="1:49" x14ac:dyDescent="0.35">
      <c r="A598" t="s">
        <v>12</v>
      </c>
      <c r="B598" t="s">
        <v>54</v>
      </c>
      <c r="C598" t="s">
        <v>58</v>
      </c>
      <c r="D598" t="s">
        <v>44</v>
      </c>
      <c r="E598" t="s">
        <v>26</v>
      </c>
      <c r="F598" t="s">
        <v>56</v>
      </c>
      <c r="G598">
        <v>590.71100000000001</v>
      </c>
      <c r="H598">
        <v>630.13699999999994</v>
      </c>
      <c r="I598">
        <v>654.14200000000005</v>
      </c>
      <c r="J598">
        <v>677.06799999999998</v>
      </c>
      <c r="K598">
        <v>705.46500000000003</v>
      </c>
      <c r="L598">
        <v>741.61300000000006</v>
      </c>
      <c r="M598">
        <v>785.94299999999998</v>
      </c>
      <c r="N598">
        <v>832.34299999999996</v>
      </c>
      <c r="O598">
        <v>877.46</v>
      </c>
      <c r="P598">
        <v>914.13499999999999</v>
      </c>
      <c r="Q598">
        <v>981.45100000000002</v>
      </c>
      <c r="R598" s="27">
        <v>1002.26</v>
      </c>
      <c r="S598">
        <v>999.35799999999995</v>
      </c>
      <c r="T598" s="27">
        <v>1004.56</v>
      </c>
      <c r="U598" s="27">
        <v>1011.8</v>
      </c>
      <c r="V598" s="27">
        <v>1039.6400000000001</v>
      </c>
      <c r="W598" s="27">
        <v>1076.3900000000001</v>
      </c>
      <c r="X598" s="27">
        <v>1103.19</v>
      </c>
      <c r="Y598" s="27">
        <v>1126.47</v>
      </c>
      <c r="Z598" s="27">
        <v>1168.7</v>
      </c>
      <c r="AA598" s="27">
        <v>1223.29</v>
      </c>
      <c r="AB598" s="27">
        <v>1294.25</v>
      </c>
      <c r="AC598" s="27">
        <v>1371.72</v>
      </c>
      <c r="AD598" s="27">
        <v>1444.07</v>
      </c>
      <c r="AE598" s="27">
        <v>1545.12</v>
      </c>
      <c r="AF598" s="27">
        <v>1650.42</v>
      </c>
      <c r="AG598" s="27">
        <v>1732.1</v>
      </c>
      <c r="AH598" s="27">
        <v>1877.74</v>
      </c>
      <c r="AI598" s="27">
        <v>1969.13</v>
      </c>
      <c r="AJ598" s="27">
        <v>2038.4</v>
      </c>
      <c r="AK598" s="27">
        <v>2140.79</v>
      </c>
      <c r="AL598" s="27">
        <v>2301.35</v>
      </c>
      <c r="AM598" s="27">
        <v>2406.73</v>
      </c>
      <c r="AN598" s="27">
        <v>2571.79</v>
      </c>
      <c r="AO598" s="27">
        <v>2745.38</v>
      </c>
      <c r="AP598" s="27">
        <v>2909.94</v>
      </c>
      <c r="AQ598" s="27">
        <v>3090.17</v>
      </c>
      <c r="AR598" s="27">
        <v>3282.65</v>
      </c>
      <c r="AS598" s="27">
        <v>3504.55</v>
      </c>
      <c r="AT598" s="27">
        <v>3747.3</v>
      </c>
      <c r="AU598" s="27">
        <v>4005.35</v>
      </c>
      <c r="AV598" s="27">
        <v>4274.0200000000004</v>
      </c>
      <c r="AW598" s="27">
        <v>4550.62</v>
      </c>
    </row>
    <row r="599" spans="1:49" x14ac:dyDescent="0.35">
      <c r="A599" t="s">
        <v>12</v>
      </c>
      <c r="B599" t="s">
        <v>59</v>
      </c>
      <c r="C599" t="s">
        <v>60</v>
      </c>
      <c r="D599" t="s">
        <v>61</v>
      </c>
    </row>
    <row r="600" spans="1:49" x14ac:dyDescent="0.35">
      <c r="A600" t="s">
        <v>12</v>
      </c>
      <c r="B600" t="s">
        <v>62</v>
      </c>
      <c r="C600" t="s">
        <v>63</v>
      </c>
      <c r="D600" t="s">
        <v>64</v>
      </c>
      <c r="F600" t="s">
        <v>42</v>
      </c>
      <c r="G600">
        <v>8.4000000000000005E-2</v>
      </c>
      <c r="H600">
        <v>8.3000000000000004E-2</v>
      </c>
      <c r="I600">
        <v>8.3000000000000004E-2</v>
      </c>
      <c r="J600">
        <v>8.3000000000000004E-2</v>
      </c>
      <c r="K600">
        <v>8.2000000000000003E-2</v>
      </c>
      <c r="L600">
        <v>8.3000000000000004E-2</v>
      </c>
      <c r="M600">
        <v>8.5000000000000006E-2</v>
      </c>
      <c r="N600">
        <v>8.6999999999999994E-2</v>
      </c>
      <c r="O600">
        <v>8.6999999999999994E-2</v>
      </c>
      <c r="P600">
        <v>8.6999999999999994E-2</v>
      </c>
      <c r="Q600">
        <v>8.8999999999999996E-2</v>
      </c>
      <c r="R600">
        <v>8.8999999999999996E-2</v>
      </c>
      <c r="S600">
        <v>0.08</v>
      </c>
      <c r="T600">
        <v>0.08</v>
      </c>
      <c r="U600">
        <v>7.9000000000000001E-2</v>
      </c>
      <c r="V600">
        <v>7.8E-2</v>
      </c>
      <c r="W600">
        <v>7.9000000000000001E-2</v>
      </c>
      <c r="X600">
        <v>7.9000000000000001E-2</v>
      </c>
      <c r="Y600">
        <v>7.9000000000000001E-2</v>
      </c>
      <c r="Z600">
        <v>0.08</v>
      </c>
      <c r="AA600">
        <v>0.08</v>
      </c>
      <c r="AB600">
        <v>8.3000000000000004E-2</v>
      </c>
      <c r="AC600">
        <v>8.6999999999999994E-2</v>
      </c>
      <c r="AD600">
        <v>8.7999999999999995E-2</v>
      </c>
      <c r="AE600">
        <v>0.09</v>
      </c>
      <c r="AF600">
        <v>9.1999999999999998E-2</v>
      </c>
      <c r="AG600">
        <v>9.0999999999999998E-2</v>
      </c>
      <c r="AH600">
        <v>9.4E-2</v>
      </c>
      <c r="AI600">
        <v>9.6000000000000002E-2</v>
      </c>
      <c r="AJ600">
        <v>0.10199999999999999</v>
      </c>
      <c r="AK600">
        <v>0.10299999999999999</v>
      </c>
      <c r="AL600">
        <v>0.106</v>
      </c>
      <c r="AM600">
        <v>0.108</v>
      </c>
      <c r="AN600">
        <v>0.113</v>
      </c>
      <c r="AO600">
        <v>0.11600000000000001</v>
      </c>
      <c r="AP600">
        <v>0.121</v>
      </c>
      <c r="AQ600">
        <v>0.125</v>
      </c>
      <c r="AR600">
        <v>0.129</v>
      </c>
      <c r="AS600">
        <v>0.13300000000000001</v>
      </c>
      <c r="AT600">
        <v>0.13700000000000001</v>
      </c>
      <c r="AU600">
        <v>0.14099999999999999</v>
      </c>
      <c r="AV600">
        <v>0.14499999999999999</v>
      </c>
      <c r="AW600">
        <v>0.14899999999999999</v>
      </c>
    </row>
    <row r="601" spans="1:49" x14ac:dyDescent="0.35">
      <c r="A601" t="s">
        <v>12</v>
      </c>
      <c r="B601" t="s">
        <v>65</v>
      </c>
      <c r="C601" t="s">
        <v>66</v>
      </c>
      <c r="D601" t="s">
        <v>67</v>
      </c>
      <c r="F601" t="s">
        <v>42</v>
      </c>
      <c r="G601">
        <v>5.5350000000000001</v>
      </c>
      <c r="H601">
        <v>6.0220000000000002</v>
      </c>
      <c r="I601">
        <v>6.8179999999999996</v>
      </c>
      <c r="J601">
        <v>7.407</v>
      </c>
      <c r="K601">
        <v>8.1530000000000005</v>
      </c>
      <c r="L601">
        <v>9.6340000000000003</v>
      </c>
      <c r="M601">
        <v>11.683</v>
      </c>
      <c r="N601">
        <v>14.542</v>
      </c>
      <c r="O601">
        <v>20.806000000000001</v>
      </c>
      <c r="P601">
        <v>23.731999999999999</v>
      </c>
      <c r="Q601">
        <v>27.584</v>
      </c>
      <c r="R601">
        <v>34.533999999999999</v>
      </c>
      <c r="S601">
        <v>41.847999999999999</v>
      </c>
      <c r="T601">
        <v>50.7</v>
      </c>
      <c r="U601">
        <v>65.335999999999999</v>
      </c>
      <c r="V601">
        <v>81.683000000000007</v>
      </c>
      <c r="W601">
        <v>96.739000000000004</v>
      </c>
      <c r="X601">
        <v>117.116</v>
      </c>
      <c r="Y601">
        <v>178.791</v>
      </c>
      <c r="Z601">
        <v>231.392</v>
      </c>
      <c r="AA601">
        <v>247.65100000000001</v>
      </c>
      <c r="AB601">
        <v>256.56200000000001</v>
      </c>
      <c r="AC601">
        <v>270.375</v>
      </c>
      <c r="AD601">
        <v>287.26</v>
      </c>
      <c r="AE601">
        <v>299.96800000000002</v>
      </c>
      <c r="AF601">
        <v>308.084</v>
      </c>
      <c r="AG601">
        <v>348.13200000000001</v>
      </c>
      <c r="AH601">
        <v>359.23599999999999</v>
      </c>
      <c r="AI601">
        <v>408.48</v>
      </c>
      <c r="AJ601">
        <v>442.95299999999997</v>
      </c>
      <c r="AK601">
        <v>478.06900000000002</v>
      </c>
      <c r="AL601">
        <v>522.48299999999995</v>
      </c>
      <c r="AM601">
        <v>568.14200000000005</v>
      </c>
      <c r="AN601">
        <v>602.02</v>
      </c>
      <c r="AO601">
        <v>621.19799999999998</v>
      </c>
      <c r="AP601">
        <v>654.77099999999996</v>
      </c>
      <c r="AQ601">
        <v>690.32899999999995</v>
      </c>
      <c r="AR601">
        <v>713.35</v>
      </c>
      <c r="AS601">
        <v>734.75599999999997</v>
      </c>
      <c r="AT601">
        <v>755.375</v>
      </c>
      <c r="AU601">
        <v>776.80100000000004</v>
      </c>
      <c r="AV601">
        <v>799.04600000000005</v>
      </c>
      <c r="AW601">
        <v>823.15899999999999</v>
      </c>
    </row>
    <row r="602" spans="1:49" x14ac:dyDescent="0.35">
      <c r="A602" t="s">
        <v>12</v>
      </c>
      <c r="B602" t="s">
        <v>68</v>
      </c>
      <c r="C602" t="s">
        <v>69</v>
      </c>
      <c r="D602" t="s">
        <v>70</v>
      </c>
      <c r="F602" t="s">
        <v>213</v>
      </c>
      <c r="G602">
        <v>35.521000000000001</v>
      </c>
      <c r="H602">
        <v>35.33</v>
      </c>
      <c r="I602">
        <v>32.052999999999997</v>
      </c>
      <c r="J602">
        <v>27.498999999999999</v>
      </c>
      <c r="K602">
        <v>24.661999999999999</v>
      </c>
      <c r="L602">
        <v>25.143999999999998</v>
      </c>
      <c r="M602">
        <v>21.343</v>
      </c>
      <c r="N602">
        <v>26.678000000000001</v>
      </c>
      <c r="O602">
        <v>19.803999999999998</v>
      </c>
      <c r="P602">
        <v>22.09</v>
      </c>
      <c r="Q602">
        <v>32.417000000000002</v>
      </c>
      <c r="R602">
        <v>32.378</v>
      </c>
      <c r="S602">
        <v>33.868000000000002</v>
      </c>
      <c r="T602">
        <v>31.355</v>
      </c>
      <c r="U602">
        <v>30.658999999999999</v>
      </c>
      <c r="V602">
        <v>24.469000000000001</v>
      </c>
      <c r="W602">
        <v>20.364000000000001</v>
      </c>
      <c r="X602">
        <v>17.847999999999999</v>
      </c>
      <c r="Y602">
        <v>19.873999999999999</v>
      </c>
      <c r="Z602">
        <v>14.632999999999999</v>
      </c>
      <c r="AA602">
        <v>13.787000000000001</v>
      </c>
      <c r="AB602">
        <v>13.211</v>
      </c>
      <c r="AC602">
        <v>13.19</v>
      </c>
      <c r="AD602">
        <v>15.968999999999999</v>
      </c>
      <c r="AE602">
        <v>18.945</v>
      </c>
      <c r="AF602">
        <v>21.472000000000001</v>
      </c>
      <c r="AG602">
        <v>26.04</v>
      </c>
      <c r="AH602">
        <v>32.848999999999997</v>
      </c>
      <c r="AI602">
        <v>32.076000000000001</v>
      </c>
      <c r="AJ602">
        <v>25.125</v>
      </c>
      <c r="AK602">
        <v>27.295999999999999</v>
      </c>
      <c r="AL602">
        <v>33.24</v>
      </c>
      <c r="AM602">
        <v>28.503</v>
      </c>
      <c r="AN602">
        <v>30.324000000000002</v>
      </c>
      <c r="AO602">
        <v>30.131</v>
      </c>
      <c r="AP602">
        <v>27.207999999999998</v>
      </c>
      <c r="AQ602">
        <v>24.635999999999999</v>
      </c>
      <c r="AR602">
        <v>25.303000000000001</v>
      </c>
      <c r="AS602">
        <v>25.492000000000001</v>
      </c>
      <c r="AT602">
        <v>25.463000000000001</v>
      </c>
      <c r="AU602">
        <v>24.983000000000001</v>
      </c>
      <c r="AV602">
        <v>24.657</v>
      </c>
      <c r="AW602">
        <v>24.353000000000002</v>
      </c>
    </row>
    <row r="603" spans="1:49" x14ac:dyDescent="0.35">
      <c r="A603" t="s">
        <v>12</v>
      </c>
      <c r="B603" t="s">
        <v>71</v>
      </c>
      <c r="C603" t="s">
        <v>72</v>
      </c>
      <c r="D603" t="s">
        <v>70</v>
      </c>
      <c r="F603" t="s">
        <v>213</v>
      </c>
      <c r="G603">
        <v>15.528</v>
      </c>
      <c r="H603">
        <v>12.581</v>
      </c>
      <c r="I603">
        <v>11.599</v>
      </c>
      <c r="J603">
        <v>9.1479999999999997</v>
      </c>
      <c r="K603">
        <v>7.968</v>
      </c>
      <c r="L603">
        <v>7.0830000000000002</v>
      </c>
      <c r="M603">
        <v>11.069000000000001</v>
      </c>
      <c r="N603">
        <v>18.036999999999999</v>
      </c>
      <c r="O603">
        <v>17.527000000000001</v>
      </c>
      <c r="P603">
        <v>29.353000000000002</v>
      </c>
      <c r="Q603">
        <v>31.98</v>
      </c>
      <c r="R603">
        <v>31.966000000000001</v>
      </c>
      <c r="S603">
        <v>33.533999999999999</v>
      </c>
      <c r="T603">
        <v>31.065999999999999</v>
      </c>
      <c r="U603">
        <v>12.82</v>
      </c>
      <c r="V603">
        <v>11.502000000000001</v>
      </c>
      <c r="W603">
        <v>14.67</v>
      </c>
      <c r="X603">
        <v>13.992000000000001</v>
      </c>
      <c r="Y603">
        <v>9.7469999999999999</v>
      </c>
      <c r="Z603">
        <v>8.1890000000000001</v>
      </c>
      <c r="AA603">
        <v>10.715999999999999</v>
      </c>
      <c r="AB603">
        <v>15.489000000000001</v>
      </c>
      <c r="AC603">
        <v>16.696999999999999</v>
      </c>
      <c r="AD603">
        <v>17.390999999999998</v>
      </c>
      <c r="AE603">
        <v>18.533000000000001</v>
      </c>
      <c r="AF603">
        <v>19.891999999999999</v>
      </c>
      <c r="AG603">
        <v>21.521000000000001</v>
      </c>
      <c r="AH603">
        <v>22.308</v>
      </c>
      <c r="AI603">
        <v>22.285</v>
      </c>
      <c r="AJ603">
        <v>18.25</v>
      </c>
      <c r="AK603">
        <v>21.248000000000001</v>
      </c>
      <c r="AL603">
        <v>21.646999999999998</v>
      </c>
      <c r="AM603">
        <v>19.335999999999999</v>
      </c>
      <c r="AN603">
        <v>14.88</v>
      </c>
      <c r="AO603">
        <v>21.838999999999999</v>
      </c>
      <c r="AP603">
        <v>24.677</v>
      </c>
      <c r="AQ603">
        <v>23.047000000000001</v>
      </c>
      <c r="AR603">
        <v>19.748000000000001</v>
      </c>
      <c r="AS603">
        <v>19.161000000000001</v>
      </c>
      <c r="AT603">
        <v>18.754999999999999</v>
      </c>
      <c r="AU603">
        <v>18.236999999999998</v>
      </c>
      <c r="AV603">
        <v>17.951000000000001</v>
      </c>
      <c r="AW603">
        <v>17.641999999999999</v>
      </c>
    </row>
    <row r="604" spans="1:49" x14ac:dyDescent="0.35">
      <c r="A604" t="s">
        <v>12</v>
      </c>
      <c r="B604" t="s">
        <v>73</v>
      </c>
      <c r="C604" t="s">
        <v>74</v>
      </c>
      <c r="D604" t="s">
        <v>47</v>
      </c>
      <c r="F604" t="s">
        <v>214</v>
      </c>
      <c r="G604">
        <v>1.145</v>
      </c>
      <c r="H604">
        <v>1.4390000000000001</v>
      </c>
      <c r="I604">
        <v>1.855</v>
      </c>
      <c r="J604">
        <v>2.3580000000000001</v>
      </c>
      <c r="K604">
        <v>3.2090000000000001</v>
      </c>
      <c r="L604">
        <v>4.2779999999999996</v>
      </c>
      <c r="M604">
        <v>5.6639999999999997</v>
      </c>
      <c r="N604">
        <v>7.3570000000000002</v>
      </c>
      <c r="O604">
        <v>9.6519999999999992</v>
      </c>
      <c r="P604">
        <v>12.143000000000001</v>
      </c>
      <c r="Q604">
        <v>16.562999999999999</v>
      </c>
      <c r="R604">
        <v>20.736000000000001</v>
      </c>
      <c r="S604">
        <v>25.029</v>
      </c>
      <c r="T604">
        <v>31.561</v>
      </c>
      <c r="U604">
        <v>43.523000000000003</v>
      </c>
      <c r="V604">
        <v>55.173999999999999</v>
      </c>
      <c r="W604">
        <v>66.787999999999997</v>
      </c>
      <c r="X604">
        <v>77.566000000000003</v>
      </c>
      <c r="Y604">
        <v>87.477999999999994</v>
      </c>
      <c r="Z604">
        <v>94.379000000000005</v>
      </c>
      <c r="AA604">
        <v>100</v>
      </c>
      <c r="AB604">
        <v>105.14700000000001</v>
      </c>
      <c r="AC604">
        <v>109.937</v>
      </c>
      <c r="AD604">
        <v>114.806</v>
      </c>
      <c r="AE604">
        <v>119.55800000000001</v>
      </c>
      <c r="AF604">
        <v>124.76900000000001</v>
      </c>
      <c r="AG604">
        <v>133.816</v>
      </c>
      <c r="AH604">
        <v>143.22</v>
      </c>
      <c r="AI604">
        <v>157.93799999999999</v>
      </c>
      <c r="AJ604">
        <v>177.11799999999999</v>
      </c>
      <c r="AK604">
        <v>189.85499999999999</v>
      </c>
      <c r="AL604">
        <v>213.95</v>
      </c>
      <c r="AM604">
        <v>248.184</v>
      </c>
      <c r="AN604">
        <v>267.71499999999997</v>
      </c>
      <c r="AO604">
        <v>284.13200000000001</v>
      </c>
      <c r="AP604">
        <v>300.01100000000002</v>
      </c>
      <c r="AQ604">
        <v>315.52300000000002</v>
      </c>
      <c r="AR604">
        <v>332.64299999999997</v>
      </c>
      <c r="AS604">
        <v>349.27499999999998</v>
      </c>
      <c r="AT604">
        <v>366.73899999999998</v>
      </c>
      <c r="AU604">
        <v>385.07600000000002</v>
      </c>
      <c r="AV604">
        <v>404.33</v>
      </c>
      <c r="AW604">
        <v>424.54599999999999</v>
      </c>
    </row>
    <row r="605" spans="1:49" x14ac:dyDescent="0.35">
      <c r="A605" t="s">
        <v>12</v>
      </c>
      <c r="B605" t="s">
        <v>73</v>
      </c>
      <c r="C605" t="s">
        <v>76</v>
      </c>
      <c r="D605" t="s">
        <v>35</v>
      </c>
      <c r="F605" t="s">
        <v>77</v>
      </c>
      <c r="G605">
        <v>30.2</v>
      </c>
      <c r="H605">
        <v>25.7</v>
      </c>
      <c r="I605">
        <v>28.9</v>
      </c>
      <c r="J605">
        <v>27.1</v>
      </c>
      <c r="K605">
        <v>36.1</v>
      </c>
      <c r="L605">
        <v>33.299999999999997</v>
      </c>
      <c r="M605">
        <v>32.4</v>
      </c>
      <c r="N605">
        <v>29.9</v>
      </c>
      <c r="O605">
        <v>31.2</v>
      </c>
      <c r="P605">
        <v>25.8</v>
      </c>
      <c r="Q605">
        <v>36.4</v>
      </c>
      <c r="R605">
        <v>25.2</v>
      </c>
      <c r="S605">
        <v>20.7</v>
      </c>
      <c r="T605">
        <v>26.1</v>
      </c>
      <c r="U605">
        <v>37.9</v>
      </c>
      <c r="V605">
        <v>26.77</v>
      </c>
      <c r="W605">
        <v>21.048999999999999</v>
      </c>
      <c r="X605">
        <v>16.138000000000002</v>
      </c>
      <c r="Y605">
        <v>12.778</v>
      </c>
      <c r="Z605">
        <v>7.8890000000000002</v>
      </c>
      <c r="AA605">
        <v>5.9560000000000004</v>
      </c>
      <c r="AB605">
        <v>5.1470000000000002</v>
      </c>
      <c r="AC605">
        <v>4.5549999999999997</v>
      </c>
      <c r="AD605">
        <v>4.4290000000000003</v>
      </c>
      <c r="AE605">
        <v>4.1379999999999999</v>
      </c>
      <c r="AF605">
        <v>4.359</v>
      </c>
      <c r="AG605">
        <v>7.2510000000000003</v>
      </c>
      <c r="AH605">
        <v>7.0279999999999996</v>
      </c>
      <c r="AI605">
        <v>10.276</v>
      </c>
      <c r="AJ605">
        <v>12.144</v>
      </c>
      <c r="AK605">
        <v>7.1920000000000002</v>
      </c>
      <c r="AL605">
        <v>12.691000000000001</v>
      </c>
      <c r="AM605">
        <v>16.001000000000001</v>
      </c>
      <c r="AN605">
        <v>7.87</v>
      </c>
      <c r="AO605">
        <v>6.1319999999999997</v>
      </c>
      <c r="AP605">
        <v>5.5880000000000001</v>
      </c>
      <c r="AQ605">
        <v>5.17</v>
      </c>
      <c r="AR605">
        <v>5.4260000000000002</v>
      </c>
      <c r="AS605">
        <v>5</v>
      </c>
      <c r="AT605">
        <v>5</v>
      </c>
      <c r="AU605">
        <v>5</v>
      </c>
      <c r="AV605">
        <v>5</v>
      </c>
      <c r="AW605">
        <v>5</v>
      </c>
    </row>
    <row r="606" spans="1:49" x14ac:dyDescent="0.35">
      <c r="A606" t="s">
        <v>12</v>
      </c>
      <c r="B606" t="s">
        <v>78</v>
      </c>
      <c r="C606" t="s">
        <v>79</v>
      </c>
      <c r="D606" t="s">
        <v>47</v>
      </c>
      <c r="F606" t="s">
        <v>214</v>
      </c>
      <c r="G606">
        <v>1.212</v>
      </c>
      <c r="H606">
        <v>1.5309999999999999</v>
      </c>
      <c r="I606">
        <v>1.889</v>
      </c>
      <c r="J606">
        <v>2.54</v>
      </c>
      <c r="K606">
        <v>3.2410000000000001</v>
      </c>
      <c r="L606">
        <v>4.5110000000000001</v>
      </c>
      <c r="M606">
        <v>5.7969999999999997</v>
      </c>
      <c r="N606">
        <v>7.67</v>
      </c>
      <c r="O606">
        <v>10.031000000000001</v>
      </c>
      <c r="P606">
        <v>13.728</v>
      </c>
      <c r="Q606">
        <v>16.283999999999999</v>
      </c>
      <c r="R606">
        <v>22.433</v>
      </c>
      <c r="S606">
        <v>27.085000000000001</v>
      </c>
      <c r="T606">
        <v>34.155999999999999</v>
      </c>
      <c r="U606">
        <v>47.125</v>
      </c>
      <c r="V606">
        <v>59.741</v>
      </c>
      <c r="W606">
        <v>69.028999999999996</v>
      </c>
      <c r="X606">
        <v>79.626999999999995</v>
      </c>
      <c r="Y606">
        <v>88.593000000000004</v>
      </c>
      <c r="Z606">
        <v>94.760999999999996</v>
      </c>
      <c r="AA606">
        <v>100</v>
      </c>
      <c r="AB606">
        <v>104.854</v>
      </c>
      <c r="AC606">
        <v>109.47199999999999</v>
      </c>
      <c r="AD606">
        <v>114.467</v>
      </c>
      <c r="AE606">
        <v>119.163</v>
      </c>
      <c r="AF606">
        <v>125.1</v>
      </c>
      <c r="AG606">
        <v>133.43100000000001</v>
      </c>
      <c r="AH606">
        <v>142</v>
      </c>
      <c r="AI606">
        <v>161.13300000000001</v>
      </c>
      <c r="AJ606">
        <v>180.833</v>
      </c>
      <c r="AK606">
        <v>190.874</v>
      </c>
      <c r="AL606">
        <v>228.58</v>
      </c>
      <c r="AM606">
        <v>256.14999999999998</v>
      </c>
      <c r="AN606">
        <v>270.39499999999998</v>
      </c>
      <c r="AO606">
        <v>283.24599999999998</v>
      </c>
      <c r="AP606">
        <v>302.61500000000001</v>
      </c>
      <c r="AQ606">
        <v>317.875</v>
      </c>
      <c r="AR606">
        <v>333.76900000000001</v>
      </c>
      <c r="AS606">
        <v>350.45699999999999</v>
      </c>
      <c r="AT606">
        <v>367.98</v>
      </c>
      <c r="AU606">
        <v>386.37900000000002</v>
      </c>
      <c r="AV606">
        <v>405.69799999999998</v>
      </c>
      <c r="AW606">
        <v>425.983</v>
      </c>
    </row>
    <row r="607" spans="1:49" x14ac:dyDescent="0.35">
      <c r="A607" t="s">
        <v>12</v>
      </c>
      <c r="B607" t="s">
        <v>78</v>
      </c>
      <c r="C607" t="s">
        <v>80</v>
      </c>
      <c r="D607" t="s">
        <v>35</v>
      </c>
      <c r="F607" t="s">
        <v>81</v>
      </c>
      <c r="G607" t="s">
        <v>82</v>
      </c>
      <c r="H607">
        <v>26.29</v>
      </c>
      <c r="I607">
        <v>23.404</v>
      </c>
      <c r="J607">
        <v>34.482999999999997</v>
      </c>
      <c r="K607">
        <v>27.564</v>
      </c>
      <c r="L607">
        <v>39.195999999999998</v>
      </c>
      <c r="M607">
        <v>28.52</v>
      </c>
      <c r="N607">
        <v>32.302999999999997</v>
      </c>
      <c r="O607">
        <v>30.786000000000001</v>
      </c>
      <c r="P607">
        <v>36.850999999999999</v>
      </c>
      <c r="Q607">
        <v>18.623999999999999</v>
      </c>
      <c r="R607">
        <v>37.76</v>
      </c>
      <c r="S607">
        <v>20.736000000000001</v>
      </c>
      <c r="T607">
        <v>26.108000000000001</v>
      </c>
      <c r="U607">
        <v>37.972000000000001</v>
      </c>
      <c r="V607">
        <v>26.771000000000001</v>
      </c>
      <c r="W607">
        <v>15.545999999999999</v>
      </c>
      <c r="X607">
        <v>15.353</v>
      </c>
      <c r="Y607">
        <v>11.26</v>
      </c>
      <c r="Z607">
        <v>6.9619999999999997</v>
      </c>
      <c r="AA607">
        <v>5.5289999999999999</v>
      </c>
      <c r="AB607">
        <v>4.8540000000000001</v>
      </c>
      <c r="AC607">
        <v>4.4039999999999999</v>
      </c>
      <c r="AD607">
        <v>4.5629999999999997</v>
      </c>
      <c r="AE607">
        <v>4.1020000000000003</v>
      </c>
      <c r="AF607">
        <v>4.9820000000000002</v>
      </c>
      <c r="AG607">
        <v>6.6589999999999998</v>
      </c>
      <c r="AH607">
        <v>6.423</v>
      </c>
      <c r="AI607">
        <v>13.474</v>
      </c>
      <c r="AJ607">
        <v>12.226000000000001</v>
      </c>
      <c r="AK607">
        <v>5.5529999999999999</v>
      </c>
      <c r="AL607">
        <v>19.754000000000001</v>
      </c>
      <c r="AM607">
        <v>12.061999999999999</v>
      </c>
      <c r="AN607">
        <v>5.5609999999999999</v>
      </c>
      <c r="AO607">
        <v>4.7519999999999998</v>
      </c>
      <c r="AP607">
        <v>6.8380000000000001</v>
      </c>
      <c r="AQ607">
        <v>5.0430000000000001</v>
      </c>
      <c r="AR607">
        <v>5</v>
      </c>
      <c r="AS607">
        <v>5</v>
      </c>
      <c r="AT607">
        <v>5</v>
      </c>
      <c r="AU607">
        <v>5</v>
      </c>
      <c r="AV607">
        <v>5</v>
      </c>
      <c r="AW607">
        <v>5</v>
      </c>
    </row>
    <row r="608" spans="1:49" x14ac:dyDescent="0.35">
      <c r="A608" t="s">
        <v>12</v>
      </c>
      <c r="B608" t="s">
        <v>83</v>
      </c>
      <c r="D608" t="s">
        <v>64</v>
      </c>
    </row>
    <row r="609" spans="1:49" x14ac:dyDescent="0.35">
      <c r="A609" t="s">
        <v>12</v>
      </c>
      <c r="B609" t="s">
        <v>84</v>
      </c>
      <c r="C609" t="s">
        <v>85</v>
      </c>
      <c r="D609" t="s">
        <v>35</v>
      </c>
      <c r="F609" t="s">
        <v>215</v>
      </c>
      <c r="G609">
        <v>-32.9</v>
      </c>
      <c r="H609">
        <v>-21</v>
      </c>
      <c r="I609">
        <v>-22.5</v>
      </c>
      <c r="J609">
        <v>-27.1</v>
      </c>
      <c r="K609">
        <v>-8.1999999999999993</v>
      </c>
      <c r="L609">
        <v>17</v>
      </c>
      <c r="M609">
        <v>14.9</v>
      </c>
      <c r="N609">
        <v>123.1</v>
      </c>
      <c r="O609">
        <v>75.400000000000006</v>
      </c>
      <c r="P609">
        <v>11.5</v>
      </c>
      <c r="Q609">
        <v>2</v>
      </c>
      <c r="R609">
        <v>-4.8040000000000003</v>
      </c>
      <c r="S609">
        <v>0.16400000000000001</v>
      </c>
      <c r="T609">
        <v>-18.526</v>
      </c>
      <c r="U609">
        <v>-8.5410000000000004</v>
      </c>
      <c r="V609">
        <v>7.8650000000000002</v>
      </c>
      <c r="W609">
        <v>-9.3010000000000002</v>
      </c>
      <c r="X609">
        <v>-0.74</v>
      </c>
      <c r="Y609">
        <v>33.735999999999997</v>
      </c>
      <c r="Z609">
        <v>10.487</v>
      </c>
      <c r="AA609">
        <v>-2.9790000000000001</v>
      </c>
      <c r="AB609">
        <v>-5.5389999999999997</v>
      </c>
      <c r="AC609">
        <v>5.8310000000000004</v>
      </c>
      <c r="AD609">
        <v>4.82</v>
      </c>
      <c r="AE609">
        <v>9.2420000000000009</v>
      </c>
      <c r="AF609">
        <v>6.2359999999999998</v>
      </c>
      <c r="AG609">
        <v>8.3989999999999991</v>
      </c>
      <c r="AH609">
        <v>11.334</v>
      </c>
      <c r="AI609">
        <v>9.7669999999999995</v>
      </c>
      <c r="AJ609">
        <v>6.9249999999999998</v>
      </c>
      <c r="AK609">
        <v>5.9630000000000001</v>
      </c>
      <c r="AL609">
        <v>18.184999999999999</v>
      </c>
      <c r="AM609">
        <v>11.228999999999999</v>
      </c>
      <c r="AN609">
        <v>4.1059999999999999</v>
      </c>
      <c r="AO609">
        <v>8.2430000000000003</v>
      </c>
      <c r="AP609">
        <v>1.675</v>
      </c>
      <c r="AQ609">
        <v>-1.7549999999999999</v>
      </c>
      <c r="AR609">
        <v>4.734</v>
      </c>
      <c r="AS609">
        <v>10.587999999999999</v>
      </c>
      <c r="AT609">
        <v>9.6639999999999997</v>
      </c>
      <c r="AU609">
        <v>9.2379999999999995</v>
      </c>
      <c r="AV609">
        <v>10.955</v>
      </c>
      <c r="AW609">
        <v>10.175000000000001</v>
      </c>
    </row>
    <row r="610" spans="1:49" x14ac:dyDescent="0.35">
      <c r="A610" t="s">
        <v>12</v>
      </c>
      <c r="B610" t="s">
        <v>87</v>
      </c>
      <c r="C610" t="s">
        <v>88</v>
      </c>
      <c r="D610" t="s">
        <v>35</v>
      </c>
      <c r="F610" t="s">
        <v>215</v>
      </c>
      <c r="G610">
        <v>-38.6</v>
      </c>
      <c r="H610">
        <v>-12</v>
      </c>
      <c r="I610">
        <v>-12.6</v>
      </c>
      <c r="J610">
        <v>-16.2</v>
      </c>
      <c r="K610">
        <v>-6.6</v>
      </c>
      <c r="L610">
        <v>14.3</v>
      </c>
      <c r="M610">
        <v>5.8</v>
      </c>
      <c r="N610">
        <v>-1.5</v>
      </c>
      <c r="O610">
        <v>-1</v>
      </c>
      <c r="P610">
        <v>11.9</v>
      </c>
      <c r="Q610">
        <v>-4.8</v>
      </c>
      <c r="R610">
        <v>-4.8040000000000003</v>
      </c>
      <c r="S610">
        <v>0.16400000000000001</v>
      </c>
      <c r="T610">
        <v>-18.526</v>
      </c>
      <c r="U610">
        <v>-8.5410000000000004</v>
      </c>
      <c r="V610">
        <v>7.8650000000000002</v>
      </c>
      <c r="W610">
        <v>-9.3010000000000002</v>
      </c>
      <c r="X610">
        <v>-0.74</v>
      </c>
      <c r="Y610">
        <v>33.735999999999997</v>
      </c>
      <c r="Z610">
        <v>10.487</v>
      </c>
      <c r="AA610">
        <v>-2.9790000000000001</v>
      </c>
      <c r="AB610">
        <v>-5.5389999999999997</v>
      </c>
      <c r="AC610">
        <v>5.8310000000000004</v>
      </c>
      <c r="AD610">
        <v>4.82</v>
      </c>
      <c r="AE610">
        <v>9.2420000000000009</v>
      </c>
      <c r="AF610">
        <v>6.2359999999999998</v>
      </c>
      <c r="AG610">
        <v>8.3989999999999991</v>
      </c>
      <c r="AH610">
        <v>11.334</v>
      </c>
      <c r="AI610">
        <v>9.7669999999999995</v>
      </c>
      <c r="AJ610">
        <v>6.9249999999999998</v>
      </c>
      <c r="AK610">
        <v>5.9630000000000001</v>
      </c>
      <c r="AL610">
        <v>18.184999999999999</v>
      </c>
      <c r="AM610">
        <v>11.228999999999999</v>
      </c>
      <c r="AN610">
        <v>4.1059999999999999</v>
      </c>
      <c r="AO610">
        <v>8.2430000000000003</v>
      </c>
      <c r="AP610">
        <v>1.675</v>
      </c>
      <c r="AQ610">
        <v>-1.7549999999999999</v>
      </c>
      <c r="AR610">
        <v>4.734</v>
      </c>
      <c r="AS610">
        <v>10.587999999999999</v>
      </c>
      <c r="AT610">
        <v>9.6639999999999997</v>
      </c>
      <c r="AU610">
        <v>9.2379999999999995</v>
      </c>
      <c r="AV610">
        <v>10.955</v>
      </c>
      <c r="AW610">
        <v>10.175000000000001</v>
      </c>
    </row>
    <row r="611" spans="1:49" x14ac:dyDescent="0.35">
      <c r="A611" t="s">
        <v>12</v>
      </c>
      <c r="B611" t="s">
        <v>89</v>
      </c>
      <c r="C611" t="s">
        <v>90</v>
      </c>
      <c r="D611" t="s">
        <v>35</v>
      </c>
      <c r="F611" t="s">
        <v>215</v>
      </c>
      <c r="G611">
        <v>14.1</v>
      </c>
      <c r="H611">
        <v>-15.6</v>
      </c>
      <c r="I611">
        <v>-24.6</v>
      </c>
      <c r="J611">
        <v>-32</v>
      </c>
      <c r="K611">
        <v>0.7</v>
      </c>
      <c r="L611">
        <v>17.7</v>
      </c>
      <c r="M611">
        <v>-10.3</v>
      </c>
      <c r="N611">
        <v>155.1</v>
      </c>
      <c r="O611">
        <v>59.4</v>
      </c>
      <c r="P611">
        <v>7.1</v>
      </c>
      <c r="Q611">
        <v>7.7</v>
      </c>
      <c r="R611">
        <v>-11.195</v>
      </c>
      <c r="S611">
        <v>19.88</v>
      </c>
      <c r="T611">
        <v>-5.0759999999999996</v>
      </c>
      <c r="U611">
        <v>7.194</v>
      </c>
      <c r="V611">
        <v>33.938000000000002</v>
      </c>
      <c r="W611">
        <v>19.538</v>
      </c>
      <c r="X611">
        <v>-10.999000000000001</v>
      </c>
      <c r="Y611">
        <v>-14.458</v>
      </c>
      <c r="Z611">
        <v>-18.516999999999999</v>
      </c>
      <c r="AA611">
        <v>27.452999999999999</v>
      </c>
      <c r="AB611">
        <v>25.643999999999998</v>
      </c>
      <c r="AC611">
        <v>29.672000000000001</v>
      </c>
      <c r="AD611">
        <v>17.975000000000001</v>
      </c>
      <c r="AE611">
        <v>17.757999999999999</v>
      </c>
      <c r="AF611">
        <v>9.5120000000000005</v>
      </c>
      <c r="AG611">
        <v>-2.0830000000000002</v>
      </c>
      <c r="AH611">
        <v>-0.41299999999999998</v>
      </c>
      <c r="AI611">
        <v>-1.4239999999999999</v>
      </c>
      <c r="AJ611">
        <v>-2.5150000000000001</v>
      </c>
      <c r="AK611">
        <v>7.0330000000000004</v>
      </c>
      <c r="AL611">
        <v>8.5980000000000008</v>
      </c>
      <c r="AM611">
        <v>2.2250000000000001</v>
      </c>
      <c r="AN611">
        <v>3.9239999999999999</v>
      </c>
      <c r="AO611">
        <v>10.771000000000001</v>
      </c>
      <c r="AP611">
        <v>14.951000000000001</v>
      </c>
      <c r="AQ611">
        <v>10.316000000000001</v>
      </c>
      <c r="AR611">
        <v>5.6390000000000002</v>
      </c>
      <c r="AS611">
        <v>6.8170000000000002</v>
      </c>
      <c r="AT611">
        <v>11.146000000000001</v>
      </c>
      <c r="AU611">
        <v>14.71</v>
      </c>
      <c r="AV611">
        <v>14.191000000000001</v>
      </c>
      <c r="AW611">
        <v>7.5709999999999997</v>
      </c>
    </row>
    <row r="612" spans="1:49" x14ac:dyDescent="0.35">
      <c r="A612" t="s">
        <v>12</v>
      </c>
      <c r="B612" t="s">
        <v>91</v>
      </c>
      <c r="C612" t="s">
        <v>92</v>
      </c>
      <c r="D612" t="s">
        <v>35</v>
      </c>
      <c r="F612" t="s">
        <v>215</v>
      </c>
      <c r="G612">
        <v>13.2</v>
      </c>
      <c r="H612">
        <v>12.7</v>
      </c>
      <c r="I612">
        <v>1.8</v>
      </c>
      <c r="J612">
        <v>-17.399999999999999</v>
      </c>
      <c r="K612">
        <v>-2.4</v>
      </c>
      <c r="L612">
        <v>-3.5</v>
      </c>
      <c r="M612">
        <v>-5.8</v>
      </c>
      <c r="N612">
        <v>7.7</v>
      </c>
      <c r="O612">
        <v>10.7</v>
      </c>
      <c r="P612">
        <v>16.899999999999999</v>
      </c>
      <c r="Q612">
        <v>8.6</v>
      </c>
      <c r="R612">
        <v>-11.195</v>
      </c>
      <c r="S612">
        <v>19.88</v>
      </c>
      <c r="T612">
        <v>-5.0759999999999996</v>
      </c>
      <c r="U612">
        <v>7.194</v>
      </c>
      <c r="V612">
        <v>33.938000000000002</v>
      </c>
      <c r="W612">
        <v>19.538</v>
      </c>
      <c r="X612">
        <v>-10.999000000000001</v>
      </c>
      <c r="Y612">
        <v>-14.458</v>
      </c>
      <c r="Z612">
        <v>-18.516999999999999</v>
      </c>
      <c r="AA612">
        <v>27.452999999999999</v>
      </c>
      <c r="AB612">
        <v>25.643999999999998</v>
      </c>
      <c r="AC612">
        <v>29.672000000000001</v>
      </c>
      <c r="AD612">
        <v>17.975000000000001</v>
      </c>
      <c r="AE612">
        <v>17.757999999999999</v>
      </c>
      <c r="AF612">
        <v>9.5120000000000005</v>
      </c>
      <c r="AG612">
        <v>-2.0830000000000002</v>
      </c>
      <c r="AH612">
        <v>-0.41299999999999998</v>
      </c>
      <c r="AI612">
        <v>-1.4239999999999999</v>
      </c>
      <c r="AJ612">
        <v>-2.5150000000000001</v>
      </c>
      <c r="AK612">
        <v>7.0330000000000004</v>
      </c>
      <c r="AL612">
        <v>8.5980000000000008</v>
      </c>
      <c r="AM612">
        <v>2.2250000000000001</v>
      </c>
      <c r="AN612">
        <v>3.9239999999999999</v>
      </c>
      <c r="AO612">
        <v>10.771000000000001</v>
      </c>
      <c r="AP612">
        <v>14.951000000000001</v>
      </c>
      <c r="AQ612">
        <v>10.316000000000001</v>
      </c>
      <c r="AR612">
        <v>5.6390000000000002</v>
      </c>
      <c r="AS612">
        <v>6.8170000000000002</v>
      </c>
      <c r="AT612">
        <v>11.146000000000001</v>
      </c>
      <c r="AU612">
        <v>14.71</v>
      </c>
      <c r="AV612">
        <v>14.191000000000001</v>
      </c>
      <c r="AW612">
        <v>7.5709999999999997</v>
      </c>
    </row>
    <row r="613" spans="1:49" x14ac:dyDescent="0.35">
      <c r="A613" t="s">
        <v>12</v>
      </c>
      <c r="B613" t="s">
        <v>93</v>
      </c>
      <c r="C613" t="s">
        <v>94</v>
      </c>
      <c r="D613" t="s">
        <v>95</v>
      </c>
    </row>
    <row r="614" spans="1:49" x14ac:dyDescent="0.35">
      <c r="A614" t="s">
        <v>12</v>
      </c>
      <c r="B614" t="s">
        <v>96</v>
      </c>
      <c r="C614" t="s">
        <v>97</v>
      </c>
      <c r="D614" t="s">
        <v>98</v>
      </c>
      <c r="E614" t="s">
        <v>99</v>
      </c>
    </row>
    <row r="615" spans="1:49" x14ac:dyDescent="0.35">
      <c r="A615" t="s">
        <v>12</v>
      </c>
      <c r="B615" t="s">
        <v>100</v>
      </c>
      <c r="C615" t="s">
        <v>101</v>
      </c>
      <c r="D615" t="s">
        <v>98</v>
      </c>
      <c r="E615" t="s">
        <v>99</v>
      </c>
      <c r="F615" t="s">
        <v>216</v>
      </c>
      <c r="G615">
        <v>18.611999999999998</v>
      </c>
      <c r="H615">
        <v>19.172000000000001</v>
      </c>
      <c r="I615">
        <v>19.731999999999999</v>
      </c>
      <c r="J615">
        <v>20.292000000000002</v>
      </c>
      <c r="K615">
        <v>20.852</v>
      </c>
      <c r="L615">
        <v>21.411999999999999</v>
      </c>
      <c r="M615">
        <v>21.972000000000001</v>
      </c>
      <c r="N615">
        <v>22.532</v>
      </c>
      <c r="O615">
        <v>23.094999999999999</v>
      </c>
      <c r="P615">
        <v>23.905999999999999</v>
      </c>
      <c r="Q615">
        <v>24.716000000000001</v>
      </c>
      <c r="R615">
        <v>25.527000000000001</v>
      </c>
      <c r="S615">
        <v>26.337</v>
      </c>
      <c r="T615">
        <v>27.148</v>
      </c>
      <c r="U615">
        <v>27.959</v>
      </c>
      <c r="V615">
        <v>28.768999999999998</v>
      </c>
      <c r="W615">
        <v>29.58</v>
      </c>
      <c r="X615">
        <v>30.390999999999998</v>
      </c>
      <c r="Y615">
        <v>31.201000000000001</v>
      </c>
      <c r="Z615">
        <v>32.012</v>
      </c>
      <c r="AA615">
        <v>32.822000000000003</v>
      </c>
      <c r="AB615">
        <v>33.633000000000003</v>
      </c>
      <c r="AC615">
        <v>34.444000000000003</v>
      </c>
      <c r="AD615">
        <v>35.491999999999997</v>
      </c>
      <c r="AE615">
        <v>36.540999999999997</v>
      </c>
      <c r="AF615">
        <v>37.588999999999999</v>
      </c>
      <c r="AG615">
        <v>38.637999999999998</v>
      </c>
      <c r="AH615">
        <v>39.686</v>
      </c>
      <c r="AI615">
        <v>40.734999999999999</v>
      </c>
      <c r="AJ615">
        <v>41.783000000000001</v>
      </c>
      <c r="AK615">
        <v>42.832000000000001</v>
      </c>
      <c r="AL615">
        <v>43.88</v>
      </c>
      <c r="AM615">
        <v>44.929000000000002</v>
      </c>
      <c r="AN615">
        <v>45.828000000000003</v>
      </c>
      <c r="AO615">
        <v>46.744</v>
      </c>
      <c r="AP615">
        <v>47.679000000000002</v>
      </c>
      <c r="AQ615">
        <v>48.633000000000003</v>
      </c>
      <c r="AR615">
        <v>49.604999999999997</v>
      </c>
      <c r="AS615">
        <v>50.597000000000001</v>
      </c>
      <c r="AT615">
        <v>51.609000000000002</v>
      </c>
      <c r="AU615">
        <v>52.640999999999998</v>
      </c>
      <c r="AV615">
        <v>53.694000000000003</v>
      </c>
      <c r="AW615">
        <v>54.768000000000001</v>
      </c>
    </row>
    <row r="616" spans="1:49" x14ac:dyDescent="0.35">
      <c r="A616" t="s">
        <v>12</v>
      </c>
      <c r="B616" t="s">
        <v>103</v>
      </c>
      <c r="C616" t="s">
        <v>104</v>
      </c>
      <c r="D616" t="s">
        <v>31</v>
      </c>
      <c r="E616" t="s">
        <v>32</v>
      </c>
      <c r="F616" t="s">
        <v>217</v>
      </c>
      <c r="G616" t="s">
        <v>82</v>
      </c>
      <c r="H616" t="s">
        <v>82</v>
      </c>
      <c r="I616" t="s">
        <v>82</v>
      </c>
      <c r="J616" t="s">
        <v>82</v>
      </c>
      <c r="K616" t="s">
        <v>82</v>
      </c>
      <c r="L616" t="s">
        <v>82</v>
      </c>
      <c r="M616" t="s">
        <v>82</v>
      </c>
      <c r="N616" t="s">
        <v>82</v>
      </c>
      <c r="O616" t="s">
        <v>82</v>
      </c>
      <c r="P616" t="s">
        <v>82</v>
      </c>
      <c r="Q616" t="s">
        <v>82</v>
      </c>
      <c r="R616">
        <v>194.81200000000001</v>
      </c>
      <c r="S616">
        <v>209.958</v>
      </c>
      <c r="T616">
        <v>301.46499999999997</v>
      </c>
      <c r="U616">
        <v>363.38799999999998</v>
      </c>
      <c r="V616">
        <v>493.661</v>
      </c>
      <c r="W616">
        <v>683.89300000000003</v>
      </c>
      <c r="X616">
        <v>732.029</v>
      </c>
      <c r="Y616">
        <v>877.88</v>
      </c>
      <c r="Z616" s="27">
        <v>1019.33</v>
      </c>
      <c r="AA616" s="27">
        <v>1147.8499999999999</v>
      </c>
      <c r="AB616" s="27">
        <v>1322.04</v>
      </c>
      <c r="AC616" s="27">
        <v>1633.98</v>
      </c>
      <c r="AD616" s="27">
        <v>1997.9</v>
      </c>
      <c r="AE616" s="27">
        <v>2475.33</v>
      </c>
      <c r="AF616" s="27">
        <v>2915.49</v>
      </c>
      <c r="AG616" s="27">
        <v>3364.11</v>
      </c>
      <c r="AH616" s="27">
        <v>4453.9399999999996</v>
      </c>
      <c r="AI616" s="27">
        <v>5424.31</v>
      </c>
      <c r="AJ616" s="27">
        <v>5918.76</v>
      </c>
      <c r="AK616" s="27">
        <v>6785.44</v>
      </c>
      <c r="AL616" s="27">
        <v>8221.25</v>
      </c>
      <c r="AM616" s="27">
        <v>9623.5300000000007</v>
      </c>
      <c r="AN616" s="27">
        <v>10970.33</v>
      </c>
      <c r="AO616" s="27">
        <v>11876</v>
      </c>
      <c r="AP616" s="27">
        <v>13192.12</v>
      </c>
      <c r="AQ616" s="27">
        <v>16032.49</v>
      </c>
      <c r="AR616" s="27">
        <v>18720.599999999999</v>
      </c>
      <c r="AS616" s="27">
        <v>21278.25</v>
      </c>
      <c r="AT616" s="27">
        <v>24383.19</v>
      </c>
      <c r="AU616" s="27">
        <v>27620.61</v>
      </c>
      <c r="AV616" s="27">
        <v>31284.39</v>
      </c>
      <c r="AW616" s="27">
        <v>35800.29</v>
      </c>
    </row>
    <row r="617" spans="1:49" x14ac:dyDescent="0.35">
      <c r="A617" t="s">
        <v>12</v>
      </c>
      <c r="B617" t="s">
        <v>103</v>
      </c>
      <c r="C617" t="s">
        <v>104</v>
      </c>
      <c r="D617" t="s">
        <v>70</v>
      </c>
      <c r="F617" t="s">
        <v>106</v>
      </c>
      <c r="G617" t="s">
        <v>82</v>
      </c>
      <c r="H617" t="s">
        <v>82</v>
      </c>
      <c r="I617" t="s">
        <v>82</v>
      </c>
      <c r="J617" t="s">
        <v>82</v>
      </c>
      <c r="K617" t="s">
        <v>82</v>
      </c>
      <c r="L617" t="s">
        <v>82</v>
      </c>
      <c r="M617" t="s">
        <v>82</v>
      </c>
      <c r="N617" t="s">
        <v>82</v>
      </c>
      <c r="O617" t="s">
        <v>82</v>
      </c>
      <c r="P617" t="s">
        <v>82</v>
      </c>
      <c r="Q617" t="s">
        <v>82</v>
      </c>
      <c r="R617">
        <v>22.048999999999999</v>
      </c>
      <c r="S617">
        <v>19.062000000000001</v>
      </c>
      <c r="T617">
        <v>21.803000000000001</v>
      </c>
      <c r="U617">
        <v>19.661000000000001</v>
      </c>
      <c r="V617">
        <v>20.206</v>
      </c>
      <c r="W617">
        <v>22.202999999999999</v>
      </c>
      <c r="X617">
        <v>18.643000000000001</v>
      </c>
      <c r="Y617">
        <v>13.97</v>
      </c>
      <c r="Z617">
        <v>11.775</v>
      </c>
      <c r="AA617">
        <v>11.544</v>
      </c>
      <c r="AB617">
        <v>11.837999999999999</v>
      </c>
      <c r="AC617">
        <v>12.791</v>
      </c>
      <c r="AD617">
        <v>13.57</v>
      </c>
      <c r="AE617">
        <v>14.616</v>
      </c>
      <c r="AF617">
        <v>15.254</v>
      </c>
      <c r="AG617">
        <v>14.439</v>
      </c>
      <c r="AH617">
        <v>16.638000000000002</v>
      </c>
      <c r="AI617">
        <v>16.555</v>
      </c>
      <c r="AJ617">
        <v>15.688000000000001</v>
      </c>
      <c r="AK617">
        <v>15.478999999999999</v>
      </c>
      <c r="AL617">
        <v>15.582000000000001</v>
      </c>
      <c r="AM617">
        <v>15.664999999999999</v>
      </c>
      <c r="AN617">
        <v>15.461</v>
      </c>
      <c r="AO617">
        <v>14.897</v>
      </c>
      <c r="AP617">
        <v>14.522</v>
      </c>
      <c r="AQ617">
        <v>15.454000000000001</v>
      </c>
      <c r="AR617">
        <v>16.116</v>
      </c>
      <c r="AS617">
        <v>16.332000000000001</v>
      </c>
      <c r="AT617">
        <v>16.690999999999999</v>
      </c>
      <c r="AU617">
        <v>16.864000000000001</v>
      </c>
      <c r="AV617">
        <v>17.059999999999999</v>
      </c>
      <c r="AW617">
        <v>17.45</v>
      </c>
    </row>
    <row r="618" spans="1:49" x14ac:dyDescent="0.35">
      <c r="A618" t="s">
        <v>12</v>
      </c>
      <c r="B618" t="s">
        <v>107</v>
      </c>
      <c r="C618" t="s">
        <v>108</v>
      </c>
      <c r="D618" t="s">
        <v>31</v>
      </c>
      <c r="E618" t="s">
        <v>32</v>
      </c>
      <c r="F618" t="s">
        <v>217</v>
      </c>
      <c r="G618" t="s">
        <v>82</v>
      </c>
      <c r="H618" t="s">
        <v>82</v>
      </c>
      <c r="I618" t="s">
        <v>82</v>
      </c>
      <c r="J618" t="s">
        <v>82</v>
      </c>
      <c r="K618" t="s">
        <v>82</v>
      </c>
      <c r="L618" t="s">
        <v>82</v>
      </c>
      <c r="M618" t="s">
        <v>82</v>
      </c>
      <c r="N618" t="s">
        <v>82</v>
      </c>
      <c r="O618" t="s">
        <v>82</v>
      </c>
      <c r="P618" t="s">
        <v>82</v>
      </c>
      <c r="Q618" t="s">
        <v>82</v>
      </c>
      <c r="R618">
        <v>186.83699999999999</v>
      </c>
      <c r="S618">
        <v>292.45</v>
      </c>
      <c r="T618">
        <v>343.86099999999999</v>
      </c>
      <c r="U618">
        <v>467.71600000000001</v>
      </c>
      <c r="V618">
        <v>571.33100000000002</v>
      </c>
      <c r="W618">
        <v>612.01700000000005</v>
      </c>
      <c r="X618">
        <v>733.54300000000001</v>
      </c>
      <c r="Y618">
        <v>867.75699999999995</v>
      </c>
      <c r="Z618" s="27">
        <v>1119.22</v>
      </c>
      <c r="AA618" s="27">
        <v>1220.18</v>
      </c>
      <c r="AB618" s="27">
        <v>1367.8</v>
      </c>
      <c r="AC618" s="27">
        <v>1726.15</v>
      </c>
      <c r="AD618" s="27">
        <v>2258.86</v>
      </c>
      <c r="AE618" s="27">
        <v>2888.27</v>
      </c>
      <c r="AF618" s="27">
        <v>3550.65</v>
      </c>
      <c r="AG618" s="27">
        <v>4164.08</v>
      </c>
      <c r="AH618" s="27">
        <v>4846.2</v>
      </c>
      <c r="AI618" s="27">
        <v>6062.28</v>
      </c>
      <c r="AJ618" s="27">
        <v>7609.59</v>
      </c>
      <c r="AK618" s="27">
        <v>8875.6</v>
      </c>
      <c r="AL618" s="27">
        <v>10101.969999999999</v>
      </c>
      <c r="AM618" s="27">
        <v>12153.77</v>
      </c>
      <c r="AN618" s="27">
        <v>13750.59</v>
      </c>
      <c r="AO618" s="27">
        <v>14280.94</v>
      </c>
      <c r="AP618" s="27">
        <v>16181.66</v>
      </c>
      <c r="AQ618" s="27">
        <v>19281.099999999999</v>
      </c>
      <c r="AR618" s="27">
        <v>22692.33</v>
      </c>
      <c r="AS618" s="27">
        <v>26848.83</v>
      </c>
      <c r="AT618" s="27">
        <v>31073.23</v>
      </c>
      <c r="AU618" s="27">
        <v>34385.14</v>
      </c>
      <c r="AV618" s="27">
        <v>37347.69</v>
      </c>
      <c r="AW618" s="27">
        <v>41057.43</v>
      </c>
    </row>
    <row r="619" spans="1:49" x14ac:dyDescent="0.35">
      <c r="A619" t="s">
        <v>12</v>
      </c>
      <c r="B619" t="s">
        <v>107</v>
      </c>
      <c r="C619" t="s">
        <v>108</v>
      </c>
      <c r="D619" t="s">
        <v>70</v>
      </c>
      <c r="F619" t="s">
        <v>109</v>
      </c>
      <c r="G619" t="s">
        <v>82</v>
      </c>
      <c r="H619" t="s">
        <v>82</v>
      </c>
      <c r="I619" t="s">
        <v>82</v>
      </c>
      <c r="J619" t="s">
        <v>82</v>
      </c>
      <c r="K619" t="s">
        <v>82</v>
      </c>
      <c r="L619" t="s">
        <v>82</v>
      </c>
      <c r="M619" t="s">
        <v>82</v>
      </c>
      <c r="N619" t="s">
        <v>82</v>
      </c>
      <c r="O619" t="s">
        <v>82</v>
      </c>
      <c r="P619" t="s">
        <v>82</v>
      </c>
      <c r="Q619" t="s">
        <v>82</v>
      </c>
      <c r="R619">
        <v>21.146999999999998</v>
      </c>
      <c r="S619">
        <v>26.550999999999998</v>
      </c>
      <c r="T619">
        <v>24.869</v>
      </c>
      <c r="U619">
        <v>25.306000000000001</v>
      </c>
      <c r="V619">
        <v>23.385000000000002</v>
      </c>
      <c r="W619">
        <v>19.87</v>
      </c>
      <c r="X619">
        <v>18.681999999999999</v>
      </c>
      <c r="Y619">
        <v>13.808999999999999</v>
      </c>
      <c r="Z619">
        <v>12.929</v>
      </c>
      <c r="AA619">
        <v>12.271000000000001</v>
      </c>
      <c r="AB619">
        <v>12.247</v>
      </c>
      <c r="AC619">
        <v>13.513</v>
      </c>
      <c r="AD619">
        <v>15.342000000000001</v>
      </c>
      <c r="AE619">
        <v>17.053999999999998</v>
      </c>
      <c r="AF619">
        <v>18.577000000000002</v>
      </c>
      <c r="AG619">
        <v>17.873000000000001</v>
      </c>
      <c r="AH619">
        <v>18.103000000000002</v>
      </c>
      <c r="AI619">
        <v>18.501999999999999</v>
      </c>
      <c r="AJ619">
        <v>20.170000000000002</v>
      </c>
      <c r="AK619">
        <v>20.247</v>
      </c>
      <c r="AL619">
        <v>19.146000000000001</v>
      </c>
      <c r="AM619">
        <v>19.783000000000001</v>
      </c>
      <c r="AN619">
        <v>19.38</v>
      </c>
      <c r="AO619">
        <v>17.914000000000001</v>
      </c>
      <c r="AP619">
        <v>17.812000000000001</v>
      </c>
      <c r="AQ619">
        <v>18.585000000000001</v>
      </c>
      <c r="AR619">
        <v>19.536000000000001</v>
      </c>
      <c r="AS619">
        <v>20.606999999999999</v>
      </c>
      <c r="AT619">
        <v>21.271000000000001</v>
      </c>
      <c r="AU619">
        <v>20.994</v>
      </c>
      <c r="AV619">
        <v>20.367000000000001</v>
      </c>
      <c r="AW619">
        <v>20.013000000000002</v>
      </c>
    </row>
    <row r="620" spans="1:49" x14ac:dyDescent="0.35">
      <c r="A620" t="s">
        <v>12</v>
      </c>
      <c r="B620" t="s">
        <v>110</v>
      </c>
      <c r="C620" t="s">
        <v>111</v>
      </c>
      <c r="D620" t="s">
        <v>31</v>
      </c>
      <c r="E620" t="s">
        <v>32</v>
      </c>
      <c r="F620" t="s">
        <v>217</v>
      </c>
      <c r="G620" t="s">
        <v>82</v>
      </c>
      <c r="H620" t="s">
        <v>82</v>
      </c>
      <c r="I620" t="s">
        <v>82</v>
      </c>
      <c r="J620" t="s">
        <v>82</v>
      </c>
      <c r="K620" t="s">
        <v>82</v>
      </c>
      <c r="L620" t="s">
        <v>82</v>
      </c>
      <c r="M620" t="s">
        <v>82</v>
      </c>
      <c r="N620" t="s">
        <v>82</v>
      </c>
      <c r="O620" t="s">
        <v>82</v>
      </c>
      <c r="P620" t="s">
        <v>82</v>
      </c>
      <c r="Q620" t="s">
        <v>82</v>
      </c>
      <c r="R620">
        <v>7.9740000000000002</v>
      </c>
      <c r="S620">
        <v>-82.492000000000004</v>
      </c>
      <c r="T620">
        <v>-42.396000000000001</v>
      </c>
      <c r="U620">
        <v>-104.328</v>
      </c>
      <c r="V620">
        <v>-77.67</v>
      </c>
      <c r="W620">
        <v>71.876000000000005</v>
      </c>
      <c r="X620">
        <v>-1.514</v>
      </c>
      <c r="Y620">
        <v>10.122999999999999</v>
      </c>
      <c r="Z620">
        <v>-99.899000000000001</v>
      </c>
      <c r="AA620">
        <v>-72.322999999999993</v>
      </c>
      <c r="AB620">
        <v>-45.762</v>
      </c>
      <c r="AC620">
        <v>-92.17</v>
      </c>
      <c r="AD620">
        <v>-260.964</v>
      </c>
      <c r="AE620">
        <v>-412.94299999999998</v>
      </c>
      <c r="AF620">
        <v>-635.16899999999998</v>
      </c>
      <c r="AG620">
        <v>-799.97400000000005</v>
      </c>
      <c r="AH620">
        <v>-392.25200000000001</v>
      </c>
      <c r="AI620">
        <v>-637.97699999999998</v>
      </c>
      <c r="AJ620" s="27">
        <v>-1690.83</v>
      </c>
      <c r="AK620" s="27">
        <v>-2090.16</v>
      </c>
      <c r="AL620" s="27">
        <v>-1880.71</v>
      </c>
      <c r="AM620" s="27">
        <v>-2530.2399999999998</v>
      </c>
      <c r="AN620" s="27">
        <v>-2780.26</v>
      </c>
      <c r="AO620" s="27">
        <v>-2404.94</v>
      </c>
      <c r="AP620" s="27">
        <v>-2989.53</v>
      </c>
      <c r="AQ620" s="27">
        <v>-3248.61</v>
      </c>
      <c r="AR620" s="27">
        <v>-3971.73</v>
      </c>
      <c r="AS620" s="27">
        <v>-5570.58</v>
      </c>
      <c r="AT620" s="27">
        <v>-6690.04</v>
      </c>
      <c r="AU620" s="27">
        <v>-6764.53</v>
      </c>
      <c r="AV620" s="27">
        <v>-6063.31</v>
      </c>
      <c r="AW620" s="27">
        <v>-5257.14</v>
      </c>
    </row>
    <row r="621" spans="1:49" x14ac:dyDescent="0.35">
      <c r="A621" t="s">
        <v>12</v>
      </c>
      <c r="B621" t="s">
        <v>110</v>
      </c>
      <c r="C621" t="s">
        <v>111</v>
      </c>
      <c r="D621" t="s">
        <v>70</v>
      </c>
      <c r="F621" t="s">
        <v>112</v>
      </c>
      <c r="G621" t="s">
        <v>82</v>
      </c>
      <c r="H621" t="s">
        <v>82</v>
      </c>
      <c r="I621" t="s">
        <v>82</v>
      </c>
      <c r="J621" t="s">
        <v>82</v>
      </c>
      <c r="K621" t="s">
        <v>82</v>
      </c>
      <c r="L621" t="s">
        <v>82</v>
      </c>
      <c r="M621" t="s">
        <v>82</v>
      </c>
      <c r="N621" t="s">
        <v>82</v>
      </c>
      <c r="O621" t="s">
        <v>82</v>
      </c>
      <c r="P621" t="s">
        <v>82</v>
      </c>
      <c r="Q621" t="s">
        <v>82</v>
      </c>
      <c r="R621">
        <v>0.90300000000000002</v>
      </c>
      <c r="S621">
        <v>-7.4889999999999999</v>
      </c>
      <c r="T621">
        <v>-3.0659999999999998</v>
      </c>
      <c r="U621">
        <v>-5.6449999999999996</v>
      </c>
      <c r="V621">
        <v>-3.1789999999999998</v>
      </c>
      <c r="W621">
        <v>2.3340000000000001</v>
      </c>
      <c r="X621">
        <v>-3.9E-2</v>
      </c>
      <c r="Y621">
        <v>0.161</v>
      </c>
      <c r="Z621">
        <v>-1.1539999999999999</v>
      </c>
      <c r="AA621">
        <v>-0.72699999999999998</v>
      </c>
      <c r="AB621">
        <v>-0.41</v>
      </c>
      <c r="AC621">
        <v>-0.72199999999999998</v>
      </c>
      <c r="AD621">
        <v>-1.7729999999999999</v>
      </c>
      <c r="AE621">
        <v>-2.4380000000000002</v>
      </c>
      <c r="AF621">
        <v>-3.323</v>
      </c>
      <c r="AG621">
        <v>-3.4340000000000002</v>
      </c>
      <c r="AH621">
        <v>-1.4650000000000001</v>
      </c>
      <c r="AI621">
        <v>-1.9470000000000001</v>
      </c>
      <c r="AJ621">
        <v>-4.4820000000000002</v>
      </c>
      <c r="AK621">
        <v>-4.7679999999999998</v>
      </c>
      <c r="AL621">
        <v>-3.5640000000000001</v>
      </c>
      <c r="AM621">
        <v>-4.1189999999999998</v>
      </c>
      <c r="AN621">
        <v>-3.9180000000000001</v>
      </c>
      <c r="AO621">
        <v>-3.0169999999999999</v>
      </c>
      <c r="AP621">
        <v>-3.2909999999999999</v>
      </c>
      <c r="AQ621">
        <v>-3.1309999999999998</v>
      </c>
      <c r="AR621">
        <v>-3.419</v>
      </c>
      <c r="AS621">
        <v>-4.2759999999999998</v>
      </c>
      <c r="AT621">
        <v>-4.58</v>
      </c>
      <c r="AU621">
        <v>-4.13</v>
      </c>
      <c r="AV621">
        <v>-3.3069999999999999</v>
      </c>
      <c r="AW621">
        <v>-2.5630000000000002</v>
      </c>
    </row>
    <row r="622" spans="1:49" x14ac:dyDescent="0.35">
      <c r="A622" t="s">
        <v>12</v>
      </c>
      <c r="B622" t="s">
        <v>113</v>
      </c>
      <c r="C622" t="s">
        <v>114</v>
      </c>
      <c r="D622" t="s">
        <v>31</v>
      </c>
      <c r="E622" t="s">
        <v>32</v>
      </c>
    </row>
    <row r="623" spans="1:49" x14ac:dyDescent="0.35">
      <c r="A623" t="s">
        <v>12</v>
      </c>
      <c r="B623" t="s">
        <v>113</v>
      </c>
      <c r="C623" t="s">
        <v>114</v>
      </c>
      <c r="D623" t="s">
        <v>61</v>
      </c>
    </row>
    <row r="624" spans="1:49" x14ac:dyDescent="0.35">
      <c r="A624" t="s">
        <v>12</v>
      </c>
      <c r="B624" t="s">
        <v>115</v>
      </c>
      <c r="C624" t="s">
        <v>116</v>
      </c>
      <c r="D624" t="s">
        <v>31</v>
      </c>
      <c r="E624" t="s">
        <v>32</v>
      </c>
      <c r="F624" t="s">
        <v>217</v>
      </c>
      <c r="G624" t="s">
        <v>82</v>
      </c>
      <c r="H624" t="s">
        <v>82</v>
      </c>
      <c r="I624" t="s">
        <v>82</v>
      </c>
      <c r="J624" t="s">
        <v>82</v>
      </c>
      <c r="K624" t="s">
        <v>82</v>
      </c>
      <c r="L624" t="s">
        <v>82</v>
      </c>
      <c r="M624" t="s">
        <v>82</v>
      </c>
      <c r="N624" t="s">
        <v>82</v>
      </c>
      <c r="O624" t="s">
        <v>82</v>
      </c>
      <c r="P624" t="s">
        <v>82</v>
      </c>
      <c r="Q624" t="s">
        <v>82</v>
      </c>
      <c r="R624">
        <v>31.565000000000001</v>
      </c>
      <c r="S624">
        <v>-43.261000000000003</v>
      </c>
      <c r="T624">
        <v>8.8650000000000002</v>
      </c>
      <c r="U624">
        <v>-15.044</v>
      </c>
      <c r="V624">
        <v>34.408000000000001</v>
      </c>
      <c r="W624">
        <v>182.16200000000001</v>
      </c>
      <c r="X624">
        <v>113.91500000000001</v>
      </c>
      <c r="Y624">
        <v>105.578</v>
      </c>
      <c r="Z624">
        <v>26.472999999999999</v>
      </c>
      <c r="AA624">
        <v>55.232999999999997</v>
      </c>
      <c r="AB624">
        <v>78.876000000000005</v>
      </c>
      <c r="AC624">
        <v>18.282</v>
      </c>
      <c r="AD624">
        <v>-156.80799999999999</v>
      </c>
      <c r="AE624">
        <v>-287.03300000000002</v>
      </c>
      <c r="AF624">
        <v>-464.25400000000002</v>
      </c>
      <c r="AG624">
        <v>-592.91999999999996</v>
      </c>
      <c r="AH624">
        <v>-152.054</v>
      </c>
      <c r="AI624">
        <v>-384.226</v>
      </c>
      <c r="AJ624" s="27">
        <v>-1445.05</v>
      </c>
      <c r="AK624" s="27">
        <v>-1789.03</v>
      </c>
      <c r="AL624" s="27">
        <v>-1485.87</v>
      </c>
      <c r="AM624" s="27">
        <v>-1928.71</v>
      </c>
      <c r="AN624" s="27">
        <v>-1908.34</v>
      </c>
      <c r="AO624" s="27">
        <v>-1285.9000000000001</v>
      </c>
      <c r="AP624" s="27">
        <v>-1615.89</v>
      </c>
      <c r="AQ624" s="27">
        <v>-1666.52</v>
      </c>
      <c r="AR624" s="27">
        <v>-2231.2600000000002</v>
      </c>
      <c r="AS624" s="27">
        <v>-3365.8</v>
      </c>
      <c r="AT624" s="27">
        <v>-3903.83</v>
      </c>
      <c r="AU624" s="27">
        <v>-3593.03</v>
      </c>
      <c r="AV624" s="27">
        <v>-2465.5700000000002</v>
      </c>
      <c r="AW624" s="27">
        <v>-1168.1199999999999</v>
      </c>
    </row>
    <row r="625" spans="1:49" x14ac:dyDescent="0.35">
      <c r="A625" t="s">
        <v>12</v>
      </c>
      <c r="B625" t="s">
        <v>115</v>
      </c>
      <c r="C625" t="s">
        <v>116</v>
      </c>
      <c r="D625" t="s">
        <v>70</v>
      </c>
      <c r="F625" t="s">
        <v>117</v>
      </c>
      <c r="G625" t="s">
        <v>82</v>
      </c>
      <c r="H625" t="s">
        <v>82</v>
      </c>
      <c r="I625" t="s">
        <v>82</v>
      </c>
      <c r="J625" t="s">
        <v>82</v>
      </c>
      <c r="K625" t="s">
        <v>82</v>
      </c>
      <c r="L625" t="s">
        <v>82</v>
      </c>
      <c r="M625" t="s">
        <v>82</v>
      </c>
      <c r="N625" t="s">
        <v>82</v>
      </c>
      <c r="O625" t="s">
        <v>82</v>
      </c>
      <c r="P625" t="s">
        <v>82</v>
      </c>
      <c r="Q625" t="s">
        <v>82</v>
      </c>
      <c r="R625">
        <v>3.573</v>
      </c>
      <c r="S625">
        <v>-3.9279999999999999</v>
      </c>
      <c r="T625">
        <v>0.64100000000000001</v>
      </c>
      <c r="U625">
        <v>-0.81399999999999995</v>
      </c>
      <c r="V625">
        <v>1.4079999999999999</v>
      </c>
      <c r="W625">
        <v>5.9139999999999997</v>
      </c>
      <c r="X625">
        <v>2.9009999999999998</v>
      </c>
      <c r="Y625">
        <v>1.68</v>
      </c>
      <c r="Z625">
        <v>0.30599999999999999</v>
      </c>
      <c r="AA625">
        <v>0.55500000000000005</v>
      </c>
      <c r="AB625">
        <v>0.70599999999999996</v>
      </c>
      <c r="AC625">
        <v>0.14299999999999999</v>
      </c>
      <c r="AD625">
        <v>-1.0649999999999999</v>
      </c>
      <c r="AE625">
        <v>-1.6950000000000001</v>
      </c>
      <c r="AF625">
        <v>-2.4289999999999998</v>
      </c>
      <c r="AG625">
        <v>-2.5449999999999999</v>
      </c>
      <c r="AH625">
        <v>-0.56799999999999995</v>
      </c>
      <c r="AI625">
        <v>-1.173</v>
      </c>
      <c r="AJ625">
        <v>-3.83</v>
      </c>
      <c r="AK625">
        <v>-4.0810000000000004</v>
      </c>
      <c r="AL625">
        <v>-2.8159999999999998</v>
      </c>
      <c r="AM625">
        <v>-3.1389999999999998</v>
      </c>
      <c r="AN625">
        <v>-2.69</v>
      </c>
      <c r="AO625">
        <v>-1.613</v>
      </c>
      <c r="AP625">
        <v>-1.7789999999999999</v>
      </c>
      <c r="AQ625">
        <v>-1.6060000000000001</v>
      </c>
      <c r="AR625">
        <v>-1.921</v>
      </c>
      <c r="AS625">
        <v>-2.5830000000000002</v>
      </c>
      <c r="AT625">
        <v>-2.6720000000000002</v>
      </c>
      <c r="AU625">
        <v>-2.194</v>
      </c>
      <c r="AV625">
        <v>-1.345</v>
      </c>
      <c r="AW625">
        <v>-0.56899999999999995</v>
      </c>
    </row>
    <row r="626" spans="1:49" x14ac:dyDescent="0.35">
      <c r="A626" t="s">
        <v>12</v>
      </c>
      <c r="B626" t="s">
        <v>118</v>
      </c>
      <c r="C626" t="s">
        <v>119</v>
      </c>
      <c r="D626" t="s">
        <v>31</v>
      </c>
      <c r="E626" t="s">
        <v>32</v>
      </c>
    </row>
    <row r="627" spans="1:49" x14ac:dyDescent="0.35">
      <c r="A627" t="s">
        <v>12</v>
      </c>
      <c r="B627" t="s">
        <v>118</v>
      </c>
      <c r="C627" t="s">
        <v>119</v>
      </c>
      <c r="D627" t="s">
        <v>70</v>
      </c>
    </row>
    <row r="628" spans="1:49" x14ac:dyDescent="0.35">
      <c r="A628" t="s">
        <v>12</v>
      </c>
      <c r="B628" t="s">
        <v>120</v>
      </c>
      <c r="C628" t="s">
        <v>121</v>
      </c>
      <c r="D628" t="s">
        <v>31</v>
      </c>
      <c r="E628" t="s">
        <v>32</v>
      </c>
      <c r="F628" t="s">
        <v>217</v>
      </c>
      <c r="G628" t="s">
        <v>82</v>
      </c>
      <c r="H628" t="s">
        <v>82</v>
      </c>
      <c r="I628" t="s">
        <v>82</v>
      </c>
      <c r="J628" t="s">
        <v>82</v>
      </c>
      <c r="K628" t="s">
        <v>82</v>
      </c>
      <c r="L628" t="s">
        <v>82</v>
      </c>
      <c r="M628" t="s">
        <v>82</v>
      </c>
      <c r="N628" t="s">
        <v>82</v>
      </c>
      <c r="O628" t="s">
        <v>82</v>
      </c>
      <c r="P628" t="s">
        <v>82</v>
      </c>
      <c r="Q628" t="s">
        <v>82</v>
      </c>
      <c r="R628" t="s">
        <v>82</v>
      </c>
      <c r="S628" t="s">
        <v>82</v>
      </c>
      <c r="T628" t="s">
        <v>82</v>
      </c>
      <c r="U628" t="s">
        <v>82</v>
      </c>
      <c r="V628" t="s">
        <v>82</v>
      </c>
      <c r="W628" t="s">
        <v>82</v>
      </c>
      <c r="X628" t="s">
        <v>82</v>
      </c>
      <c r="Y628" t="s">
        <v>82</v>
      </c>
      <c r="Z628" t="s">
        <v>82</v>
      </c>
      <c r="AA628" t="s">
        <v>82</v>
      </c>
      <c r="AB628" s="27">
        <v>5610.75</v>
      </c>
      <c r="AC628" s="27">
        <v>6008.42</v>
      </c>
      <c r="AD628" s="27">
        <v>6524.41</v>
      </c>
      <c r="AE628" s="27">
        <v>7553.93</v>
      </c>
      <c r="AF628" s="27">
        <v>8936.19</v>
      </c>
      <c r="AG628" s="27">
        <v>7651.51</v>
      </c>
      <c r="AH628" s="27">
        <v>5781.92</v>
      </c>
      <c r="AI628" s="27">
        <v>7049.41</v>
      </c>
      <c r="AJ628" s="27">
        <v>9189.92</v>
      </c>
      <c r="AK628" s="27">
        <v>11985.92</v>
      </c>
      <c r="AL628" s="27">
        <v>14690.38</v>
      </c>
      <c r="AM628" s="27">
        <v>17908.599999999999</v>
      </c>
      <c r="AN628" s="27">
        <v>21925.24</v>
      </c>
      <c r="AO628" s="27">
        <v>26941.040000000001</v>
      </c>
      <c r="AP628" s="27">
        <v>33351.71</v>
      </c>
      <c r="AQ628" s="27">
        <v>38637.58</v>
      </c>
      <c r="AR628" s="27">
        <v>43462.78</v>
      </c>
      <c r="AS628" s="27">
        <v>49866.32</v>
      </c>
      <c r="AT628" s="27">
        <v>57706.46</v>
      </c>
      <c r="AU628" s="27">
        <v>66076.289999999994</v>
      </c>
      <c r="AV628" s="27">
        <v>74825</v>
      </c>
      <c r="AW628" s="27">
        <v>84116.33</v>
      </c>
    </row>
    <row r="629" spans="1:49" x14ac:dyDescent="0.35">
      <c r="A629" t="s">
        <v>12</v>
      </c>
      <c r="B629" t="s">
        <v>120</v>
      </c>
      <c r="C629" t="s">
        <v>121</v>
      </c>
      <c r="D629" t="s">
        <v>70</v>
      </c>
      <c r="F629" t="s">
        <v>122</v>
      </c>
      <c r="G629" t="s">
        <v>82</v>
      </c>
      <c r="H629" t="s">
        <v>82</v>
      </c>
      <c r="I629" t="s">
        <v>82</v>
      </c>
      <c r="J629" t="s">
        <v>82</v>
      </c>
      <c r="K629" t="s">
        <v>82</v>
      </c>
      <c r="L629" t="s">
        <v>82</v>
      </c>
      <c r="M629" t="s">
        <v>82</v>
      </c>
      <c r="N629" t="s">
        <v>82</v>
      </c>
      <c r="O629" t="s">
        <v>82</v>
      </c>
      <c r="P629" t="s">
        <v>82</v>
      </c>
      <c r="Q629" t="s">
        <v>82</v>
      </c>
      <c r="R629" t="s">
        <v>82</v>
      </c>
      <c r="S629" t="s">
        <v>82</v>
      </c>
      <c r="T629" t="s">
        <v>82</v>
      </c>
      <c r="U629" t="s">
        <v>82</v>
      </c>
      <c r="V629" t="s">
        <v>82</v>
      </c>
      <c r="W629" t="s">
        <v>82</v>
      </c>
      <c r="X629" t="s">
        <v>82</v>
      </c>
      <c r="Y629" t="s">
        <v>82</v>
      </c>
      <c r="Z629" t="s">
        <v>82</v>
      </c>
      <c r="AA629" t="s">
        <v>82</v>
      </c>
      <c r="AB629">
        <v>50.238999999999997</v>
      </c>
      <c r="AC629">
        <v>47.034999999999997</v>
      </c>
      <c r="AD629">
        <v>44.314999999999998</v>
      </c>
      <c r="AE629">
        <v>44.603000000000002</v>
      </c>
      <c r="AF629">
        <v>46.755000000000003</v>
      </c>
      <c r="AG629">
        <v>32.841000000000001</v>
      </c>
      <c r="AH629">
        <v>21.597999999999999</v>
      </c>
      <c r="AI629">
        <v>21.515000000000001</v>
      </c>
      <c r="AJ629">
        <v>24.359000000000002</v>
      </c>
      <c r="AK629">
        <v>27.343</v>
      </c>
      <c r="AL629">
        <v>27.841999999999999</v>
      </c>
      <c r="AM629">
        <v>29.151</v>
      </c>
      <c r="AN629">
        <v>30.901</v>
      </c>
      <c r="AO629">
        <v>33.795000000000002</v>
      </c>
      <c r="AP629">
        <v>36.713000000000001</v>
      </c>
      <c r="AQ629">
        <v>37.243000000000002</v>
      </c>
      <c r="AR629">
        <v>37.417000000000002</v>
      </c>
      <c r="AS629">
        <v>38.274000000000001</v>
      </c>
      <c r="AT629">
        <v>39.502000000000002</v>
      </c>
      <c r="AU629">
        <v>40.343000000000004</v>
      </c>
      <c r="AV629">
        <v>40.805</v>
      </c>
      <c r="AW629">
        <v>41.000999999999998</v>
      </c>
    </row>
    <row r="630" spans="1:49" x14ac:dyDescent="0.35">
      <c r="A630" t="s">
        <v>12</v>
      </c>
      <c r="B630" t="s">
        <v>123</v>
      </c>
      <c r="C630" t="s">
        <v>124</v>
      </c>
      <c r="D630" t="s">
        <v>31</v>
      </c>
      <c r="E630" t="s">
        <v>32</v>
      </c>
      <c r="F630" t="s">
        <v>217</v>
      </c>
      <c r="G630">
        <v>60.853999999999999</v>
      </c>
      <c r="H630">
        <v>72.757000000000005</v>
      </c>
      <c r="I630">
        <v>88.007000000000005</v>
      </c>
      <c r="J630">
        <v>101.76300000000001</v>
      </c>
      <c r="K630">
        <v>119.929</v>
      </c>
      <c r="L630">
        <v>152.97900000000001</v>
      </c>
      <c r="M630">
        <v>201.75</v>
      </c>
      <c r="N630">
        <v>272.73200000000003</v>
      </c>
      <c r="O630">
        <v>421.62299999999999</v>
      </c>
      <c r="P630">
        <v>518.61400000000003</v>
      </c>
      <c r="Q630">
        <v>669.125</v>
      </c>
      <c r="R630">
        <v>883.53300000000002</v>
      </c>
      <c r="S630" s="27">
        <v>1101.48</v>
      </c>
      <c r="T630" s="27">
        <v>1382.69</v>
      </c>
      <c r="U630" s="27">
        <v>1848.26</v>
      </c>
      <c r="V630" s="27">
        <v>2443.1</v>
      </c>
      <c r="W630" s="27">
        <v>3080.12</v>
      </c>
      <c r="X630" s="27">
        <v>3926.47</v>
      </c>
      <c r="Y630" s="27">
        <v>6283.97</v>
      </c>
      <c r="Z630" s="27">
        <v>8656.9</v>
      </c>
      <c r="AA630" s="27">
        <v>9943.5300000000007</v>
      </c>
      <c r="AB630" s="27">
        <v>11168.02</v>
      </c>
      <c r="AC630" s="27">
        <v>12774.36</v>
      </c>
      <c r="AD630" s="27">
        <v>14722.92</v>
      </c>
      <c r="AE630" s="27">
        <v>16936.09</v>
      </c>
      <c r="AF630" s="27">
        <v>19112.830000000002</v>
      </c>
      <c r="AG630" s="27">
        <v>23298.44</v>
      </c>
      <c r="AH630" s="27">
        <v>26770.43</v>
      </c>
      <c r="AI630" s="27">
        <v>32764.94</v>
      </c>
      <c r="AJ630" s="27">
        <v>37726.82</v>
      </c>
      <c r="AK630" s="27">
        <v>43836.02</v>
      </c>
      <c r="AL630" s="27">
        <v>52762.58</v>
      </c>
      <c r="AM630" s="27">
        <v>61434.21</v>
      </c>
      <c r="AN630" s="27">
        <v>70953.23</v>
      </c>
      <c r="AO630" s="27">
        <v>79718.42</v>
      </c>
      <c r="AP630" s="27">
        <v>90844.81</v>
      </c>
      <c r="AQ630" s="27">
        <v>103744.62</v>
      </c>
      <c r="AR630" s="27">
        <v>116159.33</v>
      </c>
      <c r="AS630" s="27">
        <v>130287.42</v>
      </c>
      <c r="AT630" s="27">
        <v>146085.63</v>
      </c>
      <c r="AU630" s="27">
        <v>163786.17000000001</v>
      </c>
      <c r="AV630" s="27">
        <v>183373.32</v>
      </c>
      <c r="AW630" s="27">
        <v>205154.85</v>
      </c>
    </row>
    <row r="631" spans="1:49" x14ac:dyDescent="0.35">
      <c r="A631" t="s">
        <v>12</v>
      </c>
      <c r="B631" t="s">
        <v>125</v>
      </c>
      <c r="C631" t="s">
        <v>126</v>
      </c>
      <c r="D631" t="s">
        <v>41</v>
      </c>
      <c r="E631" t="s">
        <v>32</v>
      </c>
      <c r="F631" t="s">
        <v>218</v>
      </c>
      <c r="G631">
        <v>-0.52100000000000002</v>
      </c>
      <c r="H631">
        <v>-0.40699999999999997</v>
      </c>
      <c r="I631">
        <v>-0.52300000000000002</v>
      </c>
      <c r="J631">
        <v>-0.30499999999999999</v>
      </c>
      <c r="K631">
        <v>-0.35899999999999999</v>
      </c>
      <c r="L631">
        <v>-0.375</v>
      </c>
      <c r="M631">
        <v>-0.32100000000000001</v>
      </c>
      <c r="N631">
        <v>-0.40699999999999997</v>
      </c>
      <c r="O631">
        <v>-0.35699999999999998</v>
      </c>
      <c r="P631">
        <v>-0.33500000000000002</v>
      </c>
      <c r="Q631">
        <v>-0.55900000000000005</v>
      </c>
      <c r="R631">
        <v>-0.73699999999999999</v>
      </c>
      <c r="S631">
        <v>-0.71399999999999997</v>
      </c>
      <c r="T631">
        <v>-0.89500000000000002</v>
      </c>
      <c r="U631">
        <v>-0.63700000000000001</v>
      </c>
      <c r="V631">
        <v>-0.59</v>
      </c>
      <c r="W631">
        <v>-0.41299999999999998</v>
      </c>
      <c r="X631">
        <v>-0.436</v>
      </c>
      <c r="Y631">
        <v>-0.70399999999999996</v>
      </c>
      <c r="Z631">
        <v>-0.77700000000000002</v>
      </c>
      <c r="AA631">
        <v>-0.47199999999999998</v>
      </c>
      <c r="AB631">
        <v>-0.41499999999999998</v>
      </c>
      <c r="AC631">
        <v>-0.17399999999999999</v>
      </c>
      <c r="AD631">
        <v>-0.16</v>
      </c>
      <c r="AE631">
        <v>-0.5</v>
      </c>
      <c r="AF631">
        <v>-0.93799999999999994</v>
      </c>
      <c r="AG631">
        <v>-1.3740000000000001</v>
      </c>
      <c r="AH631">
        <v>-1.843</v>
      </c>
      <c r="AI631">
        <v>-2.1379999999999999</v>
      </c>
      <c r="AJ631">
        <v>-2.1789999999999998</v>
      </c>
      <c r="AK631">
        <v>-2.3849999999999998</v>
      </c>
      <c r="AL631">
        <v>-3.633</v>
      </c>
      <c r="AM631">
        <v>-4.5419999999999998</v>
      </c>
      <c r="AN631">
        <v>-4.6909999999999998</v>
      </c>
      <c r="AO631">
        <v>-4.87</v>
      </c>
      <c r="AP631">
        <v>-3.8759999999999999</v>
      </c>
      <c r="AQ631">
        <v>-2.677</v>
      </c>
      <c r="AR631">
        <v>-2.907</v>
      </c>
      <c r="AS631">
        <v>-3.6909999999999998</v>
      </c>
      <c r="AT631">
        <v>-4.1790000000000003</v>
      </c>
      <c r="AU631">
        <v>-4.5</v>
      </c>
      <c r="AV631">
        <v>-4.8369999999999997</v>
      </c>
      <c r="AW631">
        <v>-5.3250000000000002</v>
      </c>
    </row>
    <row r="632" spans="1:49" x14ac:dyDescent="0.35">
      <c r="A632" t="s">
        <v>12</v>
      </c>
      <c r="B632" t="s">
        <v>125</v>
      </c>
      <c r="C632" t="s">
        <v>126</v>
      </c>
      <c r="D632" t="s">
        <v>70</v>
      </c>
      <c r="F632" t="s">
        <v>128</v>
      </c>
      <c r="G632">
        <v>-7.032</v>
      </c>
      <c r="H632">
        <v>-4.5860000000000003</v>
      </c>
      <c r="I632">
        <v>-5.141</v>
      </c>
      <c r="J632">
        <v>-2.9220000000000002</v>
      </c>
      <c r="K632">
        <v>-3.7850000000000001</v>
      </c>
      <c r="L632">
        <v>-4.383</v>
      </c>
      <c r="M632">
        <v>-2.9670000000000001</v>
      </c>
      <c r="N632">
        <v>-7.6420000000000003</v>
      </c>
      <c r="O632">
        <v>-6.9580000000000002</v>
      </c>
      <c r="P632">
        <v>-7.7160000000000002</v>
      </c>
      <c r="Q632">
        <v>-16.292999999999999</v>
      </c>
      <c r="R632">
        <v>-18.292999999999999</v>
      </c>
      <c r="S632">
        <v>-19.303999999999998</v>
      </c>
      <c r="T632">
        <v>-26.227</v>
      </c>
      <c r="U632">
        <v>-17.574999999999999</v>
      </c>
      <c r="V632">
        <v>-13.875</v>
      </c>
      <c r="W632">
        <v>-7.7720000000000002</v>
      </c>
      <c r="X632">
        <v>-6.8</v>
      </c>
      <c r="Y632">
        <v>-7.45</v>
      </c>
      <c r="Z632">
        <v>-6.6849999999999996</v>
      </c>
      <c r="AA632">
        <v>-3.7989999999999999</v>
      </c>
      <c r="AB632">
        <v>-3.2589999999999999</v>
      </c>
      <c r="AC632">
        <v>-1.3180000000000001</v>
      </c>
      <c r="AD632">
        <v>-1.129</v>
      </c>
      <c r="AE632">
        <v>-3.2170000000000001</v>
      </c>
      <c r="AF632">
        <v>-5.5389999999999997</v>
      </c>
      <c r="AG632">
        <v>-7.3810000000000002</v>
      </c>
      <c r="AH632">
        <v>-8.57</v>
      </c>
      <c r="AI632">
        <v>-7.8140000000000001</v>
      </c>
      <c r="AJ632">
        <v>-7.6239999999999997</v>
      </c>
      <c r="AK632">
        <v>-7.6740000000000004</v>
      </c>
      <c r="AL632">
        <v>-10.819000000000001</v>
      </c>
      <c r="AM632">
        <v>-11.619</v>
      </c>
      <c r="AN632">
        <v>-10.561999999999999</v>
      </c>
      <c r="AO632">
        <v>-10.090999999999999</v>
      </c>
      <c r="AP632">
        <v>-8.4949999999999992</v>
      </c>
      <c r="AQ632">
        <v>-5.617</v>
      </c>
      <c r="AR632">
        <v>-5.633</v>
      </c>
      <c r="AS632">
        <v>-6.524</v>
      </c>
      <c r="AT632">
        <v>-6.7759999999999998</v>
      </c>
      <c r="AU632">
        <v>-6.702</v>
      </c>
      <c r="AV632">
        <v>-6.625</v>
      </c>
      <c r="AW632">
        <v>-6.7140000000000004</v>
      </c>
    </row>
    <row r="633" spans="1:49" x14ac:dyDescent="0.35">
      <c r="A633" t="s">
        <v>13</v>
      </c>
      <c r="B633" t="s">
        <v>29</v>
      </c>
      <c r="C633" t="s">
        <v>30</v>
      </c>
      <c r="D633" t="s">
        <v>31</v>
      </c>
      <c r="E633" t="s">
        <v>32</v>
      </c>
      <c r="F633" t="s">
        <v>219</v>
      </c>
      <c r="G633">
        <v>39.933</v>
      </c>
      <c r="H633">
        <v>42.581000000000003</v>
      </c>
      <c r="I633">
        <v>41.341000000000001</v>
      </c>
      <c r="J633">
        <v>40.868000000000002</v>
      </c>
      <c r="K633">
        <v>40.165999999999997</v>
      </c>
      <c r="L633">
        <v>40.662999999999997</v>
      </c>
      <c r="M633">
        <v>41.353000000000002</v>
      </c>
      <c r="N633">
        <v>41.97</v>
      </c>
      <c r="O633">
        <v>45.860999999999997</v>
      </c>
      <c r="P633">
        <v>44.183</v>
      </c>
      <c r="Q633">
        <v>43.927999999999997</v>
      </c>
      <c r="R633">
        <v>43.634999999999998</v>
      </c>
      <c r="S633">
        <v>44.53</v>
      </c>
      <c r="T633">
        <v>44.496000000000002</v>
      </c>
      <c r="U633">
        <v>38.573999999999998</v>
      </c>
      <c r="V633">
        <v>39.692</v>
      </c>
      <c r="W633">
        <v>42.16</v>
      </c>
      <c r="X633">
        <v>43.768000000000001</v>
      </c>
      <c r="Y633">
        <v>43.598999999999997</v>
      </c>
      <c r="Z633">
        <v>45.627000000000002</v>
      </c>
      <c r="AA633">
        <v>47.405000000000001</v>
      </c>
      <c r="AB633">
        <v>49.924999999999997</v>
      </c>
      <c r="AC633">
        <v>52.174999999999997</v>
      </c>
      <c r="AD633">
        <v>55.798000000000002</v>
      </c>
      <c r="AE633">
        <v>59.722000000000001</v>
      </c>
      <c r="AF633">
        <v>64.043999999999997</v>
      </c>
      <c r="AG633">
        <v>69.105999999999995</v>
      </c>
      <c r="AH633">
        <v>74.878</v>
      </c>
      <c r="AI633">
        <v>80.697999999999993</v>
      </c>
      <c r="AJ633">
        <v>88.138999999999996</v>
      </c>
      <c r="AK633">
        <v>97.215999999999994</v>
      </c>
      <c r="AL633">
        <v>102.626</v>
      </c>
      <c r="AM633">
        <v>110.423</v>
      </c>
      <c r="AN633">
        <v>116.009</v>
      </c>
      <c r="AO633">
        <v>121.452</v>
      </c>
      <c r="AP633">
        <v>125.004</v>
      </c>
      <c r="AQ633">
        <v>129.274</v>
      </c>
      <c r="AR633">
        <v>134.416</v>
      </c>
      <c r="AS633">
        <v>140.44399999999999</v>
      </c>
      <c r="AT633">
        <v>146.70699999999999</v>
      </c>
      <c r="AU633">
        <v>153.261</v>
      </c>
      <c r="AV633">
        <v>160.12700000000001</v>
      </c>
      <c r="AW633">
        <v>167.321</v>
      </c>
    </row>
    <row r="634" spans="1:49" x14ac:dyDescent="0.35">
      <c r="A634" t="s">
        <v>13</v>
      </c>
      <c r="B634" t="s">
        <v>29</v>
      </c>
      <c r="C634" t="s">
        <v>34</v>
      </c>
      <c r="D634" t="s">
        <v>35</v>
      </c>
      <c r="F634" t="s">
        <v>36</v>
      </c>
      <c r="G634">
        <v>3.8540000000000001</v>
      </c>
      <c r="H634">
        <v>6.6310000000000002</v>
      </c>
      <c r="I634">
        <v>-2.9119999999999999</v>
      </c>
      <c r="J634">
        <v>-1.145</v>
      </c>
      <c r="K634">
        <v>-1.718</v>
      </c>
      <c r="L634">
        <v>1.2370000000000001</v>
      </c>
      <c r="M634">
        <v>1.698</v>
      </c>
      <c r="N634">
        <v>1.4910000000000001</v>
      </c>
      <c r="O634">
        <v>9.2710000000000008</v>
      </c>
      <c r="P634">
        <v>-3.6579999999999999</v>
      </c>
      <c r="Q634">
        <v>-0.57899999999999996</v>
      </c>
      <c r="R634">
        <v>-0.66600000000000004</v>
      </c>
      <c r="S634">
        <v>2.052</v>
      </c>
      <c r="T634">
        <v>-7.6999999999999999E-2</v>
      </c>
      <c r="U634">
        <v>-13.308999999999999</v>
      </c>
      <c r="V634">
        <v>2.8980000000000001</v>
      </c>
      <c r="W634">
        <v>6.2190000000000003</v>
      </c>
      <c r="X634">
        <v>3.8140000000000001</v>
      </c>
      <c r="Y634">
        <v>-0.38600000000000001</v>
      </c>
      <c r="Z634">
        <v>4.6500000000000004</v>
      </c>
      <c r="AA634">
        <v>3.8969999999999998</v>
      </c>
      <c r="AB634">
        <v>5.3170000000000002</v>
      </c>
      <c r="AC634">
        <v>4.5060000000000002</v>
      </c>
      <c r="AD634">
        <v>6.9450000000000003</v>
      </c>
      <c r="AE634">
        <v>7.032</v>
      </c>
      <c r="AF634">
        <v>7.2359999999999998</v>
      </c>
      <c r="AG634">
        <v>7.9039999999999999</v>
      </c>
      <c r="AH634">
        <v>8.3520000000000003</v>
      </c>
      <c r="AI634">
        <v>7.774</v>
      </c>
      <c r="AJ634">
        <v>9.2200000000000006</v>
      </c>
      <c r="AK634">
        <v>10.298</v>
      </c>
      <c r="AL634">
        <v>5.5650000000000004</v>
      </c>
      <c r="AM634">
        <v>7.5979999999999999</v>
      </c>
      <c r="AN634">
        <v>5.0590000000000002</v>
      </c>
      <c r="AO634">
        <v>4.6920000000000002</v>
      </c>
      <c r="AP634">
        <v>2.9239999999999999</v>
      </c>
      <c r="AQ634">
        <v>3.4159999999999999</v>
      </c>
      <c r="AR634">
        <v>3.9780000000000002</v>
      </c>
      <c r="AS634">
        <v>4.4850000000000003</v>
      </c>
      <c r="AT634">
        <v>4.4589999999999996</v>
      </c>
      <c r="AU634">
        <v>4.4669999999999996</v>
      </c>
      <c r="AV634">
        <v>4.4800000000000004</v>
      </c>
      <c r="AW634">
        <v>4.4930000000000003</v>
      </c>
    </row>
    <row r="635" spans="1:49" x14ac:dyDescent="0.35">
      <c r="A635" t="s">
        <v>13</v>
      </c>
      <c r="B635" t="s">
        <v>37</v>
      </c>
      <c r="C635" t="s">
        <v>38</v>
      </c>
      <c r="D635" t="s">
        <v>31</v>
      </c>
      <c r="E635" t="s">
        <v>32</v>
      </c>
      <c r="F635" t="s">
        <v>219</v>
      </c>
      <c r="G635">
        <v>3.0000000000000001E-3</v>
      </c>
      <c r="H635">
        <v>4.0000000000000001E-3</v>
      </c>
      <c r="I635">
        <v>4.0000000000000001E-3</v>
      </c>
      <c r="J635">
        <v>5.0000000000000001E-3</v>
      </c>
      <c r="K635">
        <v>5.0000000000000001E-3</v>
      </c>
      <c r="L635">
        <v>8.0000000000000002E-3</v>
      </c>
      <c r="M635">
        <v>1.4E-2</v>
      </c>
      <c r="N635">
        <v>2.1999999999999999E-2</v>
      </c>
      <c r="O635">
        <v>3.4000000000000002E-2</v>
      </c>
      <c r="P635">
        <v>0.06</v>
      </c>
      <c r="Q635">
        <v>0.124</v>
      </c>
      <c r="R635">
        <v>0.23899999999999999</v>
      </c>
      <c r="S635">
        <v>0.622</v>
      </c>
      <c r="T635">
        <v>1.619</v>
      </c>
      <c r="U635">
        <v>2.448</v>
      </c>
      <c r="V635">
        <v>3.29</v>
      </c>
      <c r="W635">
        <v>4.3449999999999998</v>
      </c>
      <c r="X635">
        <v>5.657</v>
      </c>
      <c r="Y635">
        <v>6.5880000000000001</v>
      </c>
      <c r="Z635">
        <v>8.1289999999999996</v>
      </c>
      <c r="AA635">
        <v>11.201000000000001</v>
      </c>
      <c r="AB635">
        <v>14.785</v>
      </c>
      <c r="AC635">
        <v>18.446999999999999</v>
      </c>
      <c r="AD635">
        <v>23.202000000000002</v>
      </c>
      <c r="AE635">
        <v>29.73</v>
      </c>
      <c r="AF635">
        <v>37.189</v>
      </c>
      <c r="AG635">
        <v>45.963999999999999</v>
      </c>
      <c r="AH635">
        <v>56.262999999999998</v>
      </c>
      <c r="AI635">
        <v>67.088999999999999</v>
      </c>
      <c r="AJ635">
        <v>77.347999999999999</v>
      </c>
      <c r="AK635">
        <v>97.215999999999994</v>
      </c>
      <c r="AL635">
        <v>114.033</v>
      </c>
      <c r="AM635">
        <v>131.274</v>
      </c>
      <c r="AN635">
        <v>151.33099999999999</v>
      </c>
      <c r="AO635">
        <v>167.05199999999999</v>
      </c>
      <c r="AP635">
        <v>183.381</v>
      </c>
      <c r="AQ635">
        <v>216.82599999999999</v>
      </c>
      <c r="AR635">
        <v>243.28399999999999</v>
      </c>
      <c r="AS635">
        <v>274.84500000000003</v>
      </c>
      <c r="AT635">
        <v>310.30500000000001</v>
      </c>
      <c r="AU635">
        <v>349.54599999999999</v>
      </c>
      <c r="AV635">
        <v>394.30099999999999</v>
      </c>
      <c r="AW635">
        <v>444.36200000000002</v>
      </c>
    </row>
    <row r="636" spans="1:49" x14ac:dyDescent="0.35">
      <c r="A636" t="s">
        <v>13</v>
      </c>
      <c r="B636" t="s">
        <v>37</v>
      </c>
      <c r="C636" t="s">
        <v>40</v>
      </c>
      <c r="D636" t="s">
        <v>41</v>
      </c>
      <c r="E636" t="s">
        <v>32</v>
      </c>
      <c r="F636" t="s">
        <v>42</v>
      </c>
      <c r="G636">
        <v>4.2460000000000004</v>
      </c>
      <c r="H636">
        <v>4.3849999999999998</v>
      </c>
      <c r="I636">
        <v>4.2320000000000002</v>
      </c>
      <c r="J636">
        <v>3.653</v>
      </c>
      <c r="K636">
        <v>3.0030000000000001</v>
      </c>
      <c r="L636">
        <v>2.8479999999999999</v>
      </c>
      <c r="M636">
        <v>1.962</v>
      </c>
      <c r="N636">
        <v>2.431</v>
      </c>
      <c r="O636">
        <v>4.0949999999999998</v>
      </c>
      <c r="P636">
        <v>4.3650000000000002</v>
      </c>
      <c r="Q636">
        <v>4.085</v>
      </c>
      <c r="R636">
        <v>3.69</v>
      </c>
      <c r="S636">
        <v>3.6139999999999999</v>
      </c>
      <c r="T636">
        <v>3.5489999999999999</v>
      </c>
      <c r="U636">
        <v>3.657</v>
      </c>
      <c r="V636">
        <v>3.7989999999999999</v>
      </c>
      <c r="W636">
        <v>3.5990000000000002</v>
      </c>
      <c r="X636">
        <v>4.3029999999999999</v>
      </c>
      <c r="Y636">
        <v>3.5379999999999998</v>
      </c>
      <c r="Z636">
        <v>3.4049999999999998</v>
      </c>
      <c r="AA636">
        <v>3.601</v>
      </c>
      <c r="AB636">
        <v>4.0940000000000003</v>
      </c>
      <c r="AC636">
        <v>4.194</v>
      </c>
      <c r="AD636">
        <v>4.9020000000000001</v>
      </c>
      <c r="AE636">
        <v>6.2210000000000001</v>
      </c>
      <c r="AF636">
        <v>8.3320000000000007</v>
      </c>
      <c r="AG636">
        <v>12.757</v>
      </c>
      <c r="AH636">
        <v>14.057</v>
      </c>
      <c r="AI636">
        <v>17.911000000000001</v>
      </c>
      <c r="AJ636">
        <v>15.327999999999999</v>
      </c>
      <c r="AK636">
        <v>20.265000000000001</v>
      </c>
      <c r="AL636">
        <v>23.46</v>
      </c>
      <c r="AM636">
        <v>25.504000000000001</v>
      </c>
      <c r="AN636">
        <v>28.045999999999999</v>
      </c>
      <c r="AO636">
        <v>27.151</v>
      </c>
      <c r="AP636">
        <v>21.242999999999999</v>
      </c>
      <c r="AQ636">
        <v>21.012</v>
      </c>
      <c r="AR636">
        <v>25.576000000000001</v>
      </c>
      <c r="AS636">
        <v>27.327999999999999</v>
      </c>
      <c r="AT636">
        <v>28.242000000000001</v>
      </c>
      <c r="AU636">
        <v>29.521000000000001</v>
      </c>
      <c r="AV636">
        <v>31.266999999999999</v>
      </c>
      <c r="AW636">
        <v>33.344999999999999</v>
      </c>
    </row>
    <row r="637" spans="1:49" x14ac:dyDescent="0.35">
      <c r="A637" t="s">
        <v>13</v>
      </c>
      <c r="B637" t="s">
        <v>37</v>
      </c>
      <c r="C637" t="s">
        <v>43</v>
      </c>
      <c r="D637" t="s">
        <v>44</v>
      </c>
      <c r="E637" t="s">
        <v>32</v>
      </c>
      <c r="F637" t="s">
        <v>42</v>
      </c>
      <c r="G637">
        <v>8.0139999999999993</v>
      </c>
      <c r="H637">
        <v>9.343</v>
      </c>
      <c r="I637">
        <v>9.6340000000000003</v>
      </c>
      <c r="J637">
        <v>9.8989999999999991</v>
      </c>
      <c r="K637">
        <v>10.074999999999999</v>
      </c>
      <c r="L637">
        <v>10.526</v>
      </c>
      <c r="M637">
        <v>10.92</v>
      </c>
      <c r="N637">
        <v>11.366</v>
      </c>
      <c r="O637">
        <v>12.853999999999999</v>
      </c>
      <c r="P637">
        <v>12.866</v>
      </c>
      <c r="Q637">
        <v>13.263999999999999</v>
      </c>
      <c r="R637">
        <v>13.615</v>
      </c>
      <c r="S637">
        <v>14.211</v>
      </c>
      <c r="T637">
        <v>14.537000000000001</v>
      </c>
      <c r="U637">
        <v>12.871</v>
      </c>
      <c r="V637">
        <v>13.52</v>
      </c>
      <c r="W637">
        <v>14.622999999999999</v>
      </c>
      <c r="X637">
        <v>15.441000000000001</v>
      </c>
      <c r="Y637">
        <v>15.548</v>
      </c>
      <c r="Z637">
        <v>16.52</v>
      </c>
      <c r="AA637">
        <v>17.553999999999998</v>
      </c>
      <c r="AB637">
        <v>18.908999999999999</v>
      </c>
      <c r="AC637">
        <v>20.064</v>
      </c>
      <c r="AD637">
        <v>21.885999999999999</v>
      </c>
      <c r="AE637">
        <v>24.068999999999999</v>
      </c>
      <c r="AF637">
        <v>26.640999999999998</v>
      </c>
      <c r="AG637">
        <v>29.63</v>
      </c>
      <c r="AH637">
        <v>32.959000000000003</v>
      </c>
      <c r="AI637">
        <v>36.218000000000004</v>
      </c>
      <c r="AJ637">
        <v>39.857999999999997</v>
      </c>
      <c r="AK637">
        <v>44.499000000000002</v>
      </c>
      <c r="AL637">
        <v>47.945</v>
      </c>
      <c r="AM637">
        <v>52.537999999999997</v>
      </c>
      <c r="AN637">
        <v>56.088000000000001</v>
      </c>
      <c r="AO637">
        <v>59.773000000000003</v>
      </c>
      <c r="AP637">
        <v>62.188000000000002</v>
      </c>
      <c r="AQ637">
        <v>65.132999999999996</v>
      </c>
      <c r="AR637">
        <v>68.903999999999996</v>
      </c>
      <c r="AS637">
        <v>73.391000000000005</v>
      </c>
      <c r="AT637">
        <v>78.3</v>
      </c>
      <c r="AU637">
        <v>83.519000000000005</v>
      </c>
      <c r="AV637">
        <v>89.072000000000003</v>
      </c>
      <c r="AW637">
        <v>94.864999999999995</v>
      </c>
    </row>
    <row r="638" spans="1:49" x14ac:dyDescent="0.35">
      <c r="A638" t="s">
        <v>13</v>
      </c>
      <c r="B638" t="s">
        <v>45</v>
      </c>
      <c r="C638" t="s">
        <v>46</v>
      </c>
      <c r="D638" t="s">
        <v>47</v>
      </c>
      <c r="F638" t="s">
        <v>48</v>
      </c>
      <c r="G638">
        <v>8.0000000000000002E-3</v>
      </c>
      <c r="H638">
        <v>8.9999999999999993E-3</v>
      </c>
      <c r="I638">
        <v>0.01</v>
      </c>
      <c r="J638">
        <v>1.0999999999999999E-2</v>
      </c>
      <c r="K638">
        <v>1.2999999999999999E-2</v>
      </c>
      <c r="L638">
        <v>1.9E-2</v>
      </c>
      <c r="M638">
        <v>3.5000000000000003E-2</v>
      </c>
      <c r="N638">
        <v>5.0999999999999997E-2</v>
      </c>
      <c r="O638">
        <v>7.2999999999999995E-2</v>
      </c>
      <c r="P638">
        <v>0.13600000000000001</v>
      </c>
      <c r="Q638">
        <v>0.28199999999999997</v>
      </c>
      <c r="R638">
        <v>0.54700000000000004</v>
      </c>
      <c r="S638">
        <v>1.3979999999999999</v>
      </c>
      <c r="T638">
        <v>3.64</v>
      </c>
      <c r="U638">
        <v>6.3460000000000001</v>
      </c>
      <c r="V638">
        <v>8.2880000000000003</v>
      </c>
      <c r="W638">
        <v>10.305999999999999</v>
      </c>
      <c r="X638">
        <v>12.923999999999999</v>
      </c>
      <c r="Y638">
        <v>15.109</v>
      </c>
      <c r="Z638">
        <v>17.817</v>
      </c>
      <c r="AA638">
        <v>23.628</v>
      </c>
      <c r="AB638">
        <v>29.614000000000001</v>
      </c>
      <c r="AC638">
        <v>35.356000000000002</v>
      </c>
      <c r="AD638">
        <v>41.582000000000001</v>
      </c>
      <c r="AE638">
        <v>49.78</v>
      </c>
      <c r="AF638">
        <v>58.069000000000003</v>
      </c>
      <c r="AG638">
        <v>66.513000000000005</v>
      </c>
      <c r="AH638">
        <v>75.14</v>
      </c>
      <c r="AI638">
        <v>83.135000000000005</v>
      </c>
      <c r="AJ638">
        <v>87.757000000000005</v>
      </c>
      <c r="AK638">
        <v>100</v>
      </c>
      <c r="AL638">
        <v>111.11499999999999</v>
      </c>
      <c r="AM638">
        <v>118.883</v>
      </c>
      <c r="AN638">
        <v>130.447</v>
      </c>
      <c r="AO638">
        <v>137.54599999999999</v>
      </c>
      <c r="AP638">
        <v>146.70099999999999</v>
      </c>
      <c r="AQ638">
        <v>167.727</v>
      </c>
      <c r="AR638">
        <v>180.99299999999999</v>
      </c>
      <c r="AS638">
        <v>195.697</v>
      </c>
      <c r="AT638">
        <v>211.51300000000001</v>
      </c>
      <c r="AU638">
        <v>228.07300000000001</v>
      </c>
      <c r="AV638">
        <v>246.24299999999999</v>
      </c>
      <c r="AW638">
        <v>265.57499999999999</v>
      </c>
    </row>
    <row r="639" spans="1:49" x14ac:dyDescent="0.35">
      <c r="A639" t="s">
        <v>13</v>
      </c>
      <c r="B639" t="s">
        <v>49</v>
      </c>
      <c r="C639" t="s">
        <v>50</v>
      </c>
      <c r="D639" t="s">
        <v>31</v>
      </c>
      <c r="E639" t="s">
        <v>26</v>
      </c>
      <c r="F639" t="s">
        <v>51</v>
      </c>
      <c r="G639" s="27">
        <v>6760.3</v>
      </c>
      <c r="H639" s="27">
        <v>6978.98</v>
      </c>
      <c r="I639" s="27">
        <v>6564.96</v>
      </c>
      <c r="J639" s="27">
        <v>6292.37</v>
      </c>
      <c r="K639" s="27">
        <v>5999.75</v>
      </c>
      <c r="L639" s="27">
        <v>5895.46</v>
      </c>
      <c r="M639" s="27">
        <v>5820.91</v>
      </c>
      <c r="N639" s="27">
        <v>5735.86</v>
      </c>
      <c r="O639" s="27">
        <v>6084.04</v>
      </c>
      <c r="P639" s="27">
        <v>5687.12</v>
      </c>
      <c r="Q639" s="27">
        <v>5481.87</v>
      </c>
      <c r="R639" s="27">
        <v>5283.53</v>
      </c>
      <c r="S639" s="27">
        <v>5235.87</v>
      </c>
      <c r="T639" s="27">
        <v>5084.38</v>
      </c>
      <c r="U639" s="27">
        <v>4277.45</v>
      </c>
      <c r="V639" s="27">
        <v>4289.1499999999996</v>
      </c>
      <c r="W639" s="27">
        <v>4436.97</v>
      </c>
      <c r="X639" s="27">
        <v>4482.59</v>
      </c>
      <c r="Y639" s="27">
        <v>4345.1499999999996</v>
      </c>
      <c r="Z639" s="27">
        <v>4425.8999999999996</v>
      </c>
      <c r="AA639" s="27">
        <v>4478.49</v>
      </c>
      <c r="AB639" s="27">
        <v>4596.75</v>
      </c>
      <c r="AC639" s="27">
        <v>4683.57</v>
      </c>
      <c r="AD639" s="27">
        <v>4883.47</v>
      </c>
      <c r="AE639" s="27">
        <v>5093.17</v>
      </c>
      <c r="AF639" s="27">
        <v>5317.48</v>
      </c>
      <c r="AG639" s="27">
        <v>5581.13</v>
      </c>
      <c r="AH639" s="27">
        <v>5877.82</v>
      </c>
      <c r="AI639" s="27">
        <v>6153.14</v>
      </c>
      <c r="AJ639" s="27">
        <v>6524.96</v>
      </c>
      <c r="AK639" s="27">
        <v>6985.41</v>
      </c>
      <c r="AL639" s="27">
        <v>7154.6</v>
      </c>
      <c r="AM639" s="27">
        <v>7467.55</v>
      </c>
      <c r="AN639" s="27">
        <v>7609.17</v>
      </c>
      <c r="AO639" s="27">
        <v>7725.47</v>
      </c>
      <c r="AP639" s="27">
        <v>7710.56</v>
      </c>
      <c r="AQ639" s="27">
        <v>7733.07</v>
      </c>
      <c r="AR639" s="27">
        <v>7797.66</v>
      </c>
      <c r="AS639" s="27">
        <v>7902.11</v>
      </c>
      <c r="AT639" s="27">
        <v>8007.6</v>
      </c>
      <c r="AU639" s="27">
        <v>8116.78</v>
      </c>
      <c r="AV639" s="27">
        <v>8230.2099999999991</v>
      </c>
      <c r="AW639" s="27">
        <v>8348.09</v>
      </c>
    </row>
    <row r="640" spans="1:49" x14ac:dyDescent="0.35">
      <c r="A640" t="s">
        <v>13</v>
      </c>
      <c r="B640" t="s">
        <v>49</v>
      </c>
      <c r="C640" t="s">
        <v>52</v>
      </c>
      <c r="D640" t="s">
        <v>53</v>
      </c>
      <c r="E640" t="s">
        <v>26</v>
      </c>
      <c r="F640" t="s">
        <v>51</v>
      </c>
      <c r="G640" s="27">
        <v>3158.33</v>
      </c>
      <c r="H640" s="27">
        <v>3260.5</v>
      </c>
      <c r="I640" s="27">
        <v>3067.07</v>
      </c>
      <c r="J640" s="27">
        <v>2939.72</v>
      </c>
      <c r="K640" s="27">
        <v>2803.01</v>
      </c>
      <c r="L640" s="27">
        <v>2754.29</v>
      </c>
      <c r="M640" s="27">
        <v>2719.46</v>
      </c>
      <c r="N640" s="27">
        <v>2679.72</v>
      </c>
      <c r="O640" s="27">
        <v>2842.39</v>
      </c>
      <c r="P640" s="27">
        <v>2656.95</v>
      </c>
      <c r="Q640" s="27">
        <v>2561.06</v>
      </c>
      <c r="R640" s="27">
        <v>2468.4</v>
      </c>
      <c r="S640" s="27">
        <v>2446.13</v>
      </c>
      <c r="T640" s="27">
        <v>2375.36</v>
      </c>
      <c r="U640" s="27">
        <v>1998.37</v>
      </c>
      <c r="V640" s="27">
        <v>2003.84</v>
      </c>
      <c r="W640" s="27">
        <v>2072.9</v>
      </c>
      <c r="X640" s="27">
        <v>2094.21</v>
      </c>
      <c r="Y640" s="27">
        <v>2030</v>
      </c>
      <c r="Z640" s="27">
        <v>2067.73</v>
      </c>
      <c r="AA640" s="27">
        <v>2092.3000000000002</v>
      </c>
      <c r="AB640" s="27">
        <v>2147.5500000000002</v>
      </c>
      <c r="AC640" s="27">
        <v>2188.11</v>
      </c>
      <c r="AD640" s="27">
        <v>2281.5</v>
      </c>
      <c r="AE640" s="27">
        <v>2379.4699999999998</v>
      </c>
      <c r="AF640" s="27">
        <v>2484.2600000000002</v>
      </c>
      <c r="AG640" s="27">
        <v>2607.44</v>
      </c>
      <c r="AH640" s="27">
        <v>2746.05</v>
      </c>
      <c r="AI640" s="27">
        <v>2874.67</v>
      </c>
      <c r="AJ640" s="27">
        <v>3048.38</v>
      </c>
      <c r="AK640" s="27">
        <v>3263.5</v>
      </c>
      <c r="AL640" s="27">
        <v>3342.54</v>
      </c>
      <c r="AM640" s="27">
        <v>3488.75</v>
      </c>
      <c r="AN640" s="27">
        <v>3554.91</v>
      </c>
      <c r="AO640" s="27">
        <v>3609.25</v>
      </c>
      <c r="AP640" s="27">
        <v>3602.28</v>
      </c>
      <c r="AQ640" s="27">
        <v>3612.8</v>
      </c>
      <c r="AR640" s="27">
        <v>3642.97</v>
      </c>
      <c r="AS640" s="27">
        <v>3691.77</v>
      </c>
      <c r="AT640" s="27">
        <v>3741.05</v>
      </c>
      <c r="AU640" s="27">
        <v>3792.06</v>
      </c>
      <c r="AV640" s="27">
        <v>3845.05</v>
      </c>
      <c r="AW640" s="27">
        <v>3900.13</v>
      </c>
    </row>
    <row r="641" spans="1:49" x14ac:dyDescent="0.35">
      <c r="A641" t="s">
        <v>13</v>
      </c>
      <c r="B641" t="s">
        <v>54</v>
      </c>
      <c r="C641" t="s">
        <v>55</v>
      </c>
      <c r="D641" t="s">
        <v>31</v>
      </c>
      <c r="E641" t="s">
        <v>26</v>
      </c>
      <c r="F641" t="s">
        <v>56</v>
      </c>
      <c r="G641">
        <v>0.56699999999999995</v>
      </c>
      <c r="H641">
        <v>0.624</v>
      </c>
      <c r="I641">
        <v>0.624</v>
      </c>
      <c r="J641">
        <v>0.70299999999999996</v>
      </c>
      <c r="K641">
        <v>0.80500000000000005</v>
      </c>
      <c r="L641">
        <v>1.1200000000000001</v>
      </c>
      <c r="M641">
        <v>2.0169999999999999</v>
      </c>
      <c r="N641">
        <v>2.9529999999999998</v>
      </c>
      <c r="O641">
        <v>4.468</v>
      </c>
      <c r="P641">
        <v>7.7610000000000001</v>
      </c>
      <c r="Q641">
        <v>15.44</v>
      </c>
      <c r="R641">
        <v>28.88</v>
      </c>
      <c r="S641">
        <v>73.176000000000002</v>
      </c>
      <c r="T641">
        <v>185.053</v>
      </c>
      <c r="U641">
        <v>271.43</v>
      </c>
      <c r="V641">
        <v>355.488</v>
      </c>
      <c r="W641">
        <v>457.28100000000001</v>
      </c>
      <c r="X641">
        <v>579.33900000000006</v>
      </c>
      <c r="Y641">
        <v>656.52</v>
      </c>
      <c r="Z641">
        <v>788.58299999999997</v>
      </c>
      <c r="AA641" s="27">
        <v>1058.2</v>
      </c>
      <c r="AB641" s="27">
        <v>1361.27</v>
      </c>
      <c r="AC641" s="27">
        <v>1655.93</v>
      </c>
      <c r="AD641" s="27">
        <v>2030.62</v>
      </c>
      <c r="AE641" s="27">
        <v>2535.38</v>
      </c>
      <c r="AF641" s="27">
        <v>3087.79</v>
      </c>
      <c r="AG641" s="27">
        <v>3712.18</v>
      </c>
      <c r="AH641" s="27">
        <v>4416.59</v>
      </c>
      <c r="AI641" s="27">
        <v>5115.42</v>
      </c>
      <c r="AJ641" s="27">
        <v>5726.11</v>
      </c>
      <c r="AK641" s="27">
        <v>6985.41</v>
      </c>
      <c r="AL641" s="27">
        <v>7949.84</v>
      </c>
      <c r="AM641" s="27">
        <v>8877.6299999999992</v>
      </c>
      <c r="AN641" s="27">
        <v>9925.92</v>
      </c>
      <c r="AO641" s="27">
        <v>10626.07</v>
      </c>
      <c r="AP641" s="27">
        <v>11311.44</v>
      </c>
      <c r="AQ641" s="27">
        <v>12970.41</v>
      </c>
      <c r="AR641" s="27">
        <v>14113.25</v>
      </c>
      <c r="AS641" s="27">
        <v>15464.18</v>
      </c>
      <c r="AT641" s="27">
        <v>16937.13</v>
      </c>
      <c r="AU641" s="27">
        <v>18512.150000000001</v>
      </c>
      <c r="AV641" s="27">
        <v>20266.3</v>
      </c>
      <c r="AW641" s="27">
        <v>22170.42</v>
      </c>
    </row>
    <row r="642" spans="1:49" x14ac:dyDescent="0.35">
      <c r="A642" t="s">
        <v>13</v>
      </c>
      <c r="B642" t="s">
        <v>54</v>
      </c>
      <c r="C642" t="s">
        <v>57</v>
      </c>
      <c r="D642" t="s">
        <v>41</v>
      </c>
      <c r="E642" t="s">
        <v>26</v>
      </c>
      <c r="F642" t="s">
        <v>56</v>
      </c>
      <c r="G642">
        <v>718.79499999999996</v>
      </c>
      <c r="H642">
        <v>718.74300000000005</v>
      </c>
      <c r="I642">
        <v>672.01300000000003</v>
      </c>
      <c r="J642">
        <v>562.44100000000003</v>
      </c>
      <c r="K642">
        <v>448.53199999999998</v>
      </c>
      <c r="L642">
        <v>412.851</v>
      </c>
      <c r="M642">
        <v>276.15100000000001</v>
      </c>
      <c r="N642">
        <v>332.26799999999997</v>
      </c>
      <c r="O642">
        <v>543.31600000000003</v>
      </c>
      <c r="P642">
        <v>561.83199999999999</v>
      </c>
      <c r="Q642">
        <v>509.75200000000001</v>
      </c>
      <c r="R642">
        <v>446.77800000000002</v>
      </c>
      <c r="S642">
        <v>424.94900000000001</v>
      </c>
      <c r="T642">
        <v>405.58699999999999</v>
      </c>
      <c r="U642">
        <v>405.54399999999998</v>
      </c>
      <c r="V642">
        <v>410.54199999999997</v>
      </c>
      <c r="W642">
        <v>378.71</v>
      </c>
      <c r="X642">
        <v>440.70100000000002</v>
      </c>
      <c r="Y642">
        <v>352.62700000000001</v>
      </c>
      <c r="Z642">
        <v>330.28300000000002</v>
      </c>
      <c r="AA642">
        <v>340.16399999999999</v>
      </c>
      <c r="AB642">
        <v>376.98599999999999</v>
      </c>
      <c r="AC642">
        <v>376.46800000000002</v>
      </c>
      <c r="AD642">
        <v>429.01</v>
      </c>
      <c r="AE642">
        <v>530.54</v>
      </c>
      <c r="AF642">
        <v>691.78499999999997</v>
      </c>
      <c r="AG642" s="27">
        <v>1030.28</v>
      </c>
      <c r="AH642" s="27">
        <v>1103.45</v>
      </c>
      <c r="AI642" s="27">
        <v>1365.69</v>
      </c>
      <c r="AJ642" s="27">
        <v>1134.76</v>
      </c>
      <c r="AK642" s="27">
        <v>1456.16</v>
      </c>
      <c r="AL642" s="27">
        <v>1635.55</v>
      </c>
      <c r="AM642" s="27">
        <v>1724.73</v>
      </c>
      <c r="AN642" s="27">
        <v>1839.53</v>
      </c>
      <c r="AO642" s="27">
        <v>1727.03</v>
      </c>
      <c r="AP642" s="27">
        <v>1310.3499999999999</v>
      </c>
      <c r="AQ642" s="27">
        <v>1256.92</v>
      </c>
      <c r="AR642" s="27">
        <v>1483.69</v>
      </c>
      <c r="AS642" s="27">
        <v>1537.6</v>
      </c>
      <c r="AT642" s="27">
        <v>1541.53</v>
      </c>
      <c r="AU642" s="27">
        <v>1563.47</v>
      </c>
      <c r="AV642" s="27">
        <v>1607.06</v>
      </c>
      <c r="AW642" s="27">
        <v>1663.68</v>
      </c>
    </row>
    <row r="643" spans="1:49" x14ac:dyDescent="0.35">
      <c r="A643" t="s">
        <v>13</v>
      </c>
      <c r="B643" t="s">
        <v>54</v>
      </c>
      <c r="C643" t="s">
        <v>58</v>
      </c>
      <c r="D643" t="s">
        <v>44</v>
      </c>
      <c r="E643" t="s">
        <v>26</v>
      </c>
      <c r="F643" t="s">
        <v>56</v>
      </c>
      <c r="G643" s="27">
        <v>1356.64</v>
      </c>
      <c r="H643" s="27">
        <v>1531.3</v>
      </c>
      <c r="I643" s="27">
        <v>1529.83</v>
      </c>
      <c r="J643" s="27">
        <v>1524.19</v>
      </c>
      <c r="K643" s="27">
        <v>1504.89</v>
      </c>
      <c r="L643" s="27">
        <v>1526.05</v>
      </c>
      <c r="M643" s="27">
        <v>1537.13</v>
      </c>
      <c r="N643" s="27">
        <v>1553.33</v>
      </c>
      <c r="O643" s="27">
        <v>1705.29</v>
      </c>
      <c r="P643" s="27">
        <v>1656.03</v>
      </c>
      <c r="Q643" s="27">
        <v>1655.3</v>
      </c>
      <c r="R643" s="27">
        <v>1648.51</v>
      </c>
      <c r="S643" s="27">
        <v>1670.88</v>
      </c>
      <c r="T643" s="27">
        <v>1661.14</v>
      </c>
      <c r="U643" s="27">
        <v>1427.25</v>
      </c>
      <c r="V643" s="27">
        <v>1461</v>
      </c>
      <c r="W643" s="27">
        <v>1538.93</v>
      </c>
      <c r="X643" s="27">
        <v>1581.38</v>
      </c>
      <c r="Y643" s="27">
        <v>1549.52</v>
      </c>
      <c r="Z643" s="27">
        <v>1602.48</v>
      </c>
      <c r="AA643" s="27">
        <v>1658.41</v>
      </c>
      <c r="AB643" s="27">
        <v>1741</v>
      </c>
      <c r="AC643" s="27">
        <v>1801.11</v>
      </c>
      <c r="AD643" s="27">
        <v>1915.43</v>
      </c>
      <c r="AE643" s="27">
        <v>2052.62</v>
      </c>
      <c r="AF643" s="27">
        <v>2211.9699999999998</v>
      </c>
      <c r="AG643" s="27">
        <v>2392.98</v>
      </c>
      <c r="AH643" s="27">
        <v>2587.25</v>
      </c>
      <c r="AI643" s="27">
        <v>2761.56</v>
      </c>
      <c r="AJ643" s="27">
        <v>2950.68</v>
      </c>
      <c r="AK643" s="27">
        <v>3197.49</v>
      </c>
      <c r="AL643" s="27">
        <v>3342.54</v>
      </c>
      <c r="AM643" s="27">
        <v>3553.02</v>
      </c>
      <c r="AN643" s="27">
        <v>3678.86</v>
      </c>
      <c r="AO643" s="27">
        <v>3802.13</v>
      </c>
      <c r="AP643" s="27">
        <v>3835.94</v>
      </c>
      <c r="AQ643" s="27">
        <v>3896.22</v>
      </c>
      <c r="AR643" s="27">
        <v>3997.21</v>
      </c>
      <c r="AS643" s="27">
        <v>4129.37</v>
      </c>
      <c r="AT643" s="27">
        <v>4273.79</v>
      </c>
      <c r="AU643" s="27">
        <v>4423.1899999999996</v>
      </c>
      <c r="AV643" s="27">
        <v>4578.1499999999996</v>
      </c>
      <c r="AW643" s="27">
        <v>4733.07</v>
      </c>
    </row>
    <row r="644" spans="1:49" x14ac:dyDescent="0.35">
      <c r="A644" t="s">
        <v>13</v>
      </c>
      <c r="B644" t="s">
        <v>59</v>
      </c>
      <c r="C644" t="s">
        <v>60</v>
      </c>
      <c r="D644" t="s">
        <v>61</v>
      </c>
    </row>
    <row r="645" spans="1:49" x14ac:dyDescent="0.35">
      <c r="A645" t="s">
        <v>13</v>
      </c>
      <c r="B645" t="s">
        <v>62</v>
      </c>
      <c r="C645" t="s">
        <v>63</v>
      </c>
      <c r="D645" t="s">
        <v>64</v>
      </c>
      <c r="F645" t="s">
        <v>42</v>
      </c>
      <c r="G645">
        <v>6.0999999999999999E-2</v>
      </c>
      <c r="H645">
        <v>6.4000000000000001E-2</v>
      </c>
      <c r="I645">
        <v>6.2E-2</v>
      </c>
      <c r="J645">
        <v>0.06</v>
      </c>
      <c r="K645">
        <v>5.6000000000000001E-2</v>
      </c>
      <c r="L645">
        <v>5.5E-2</v>
      </c>
      <c r="M645">
        <v>5.3999999999999999E-2</v>
      </c>
      <c r="N645">
        <v>5.2999999999999999E-2</v>
      </c>
      <c r="O645">
        <v>5.5E-2</v>
      </c>
      <c r="P645">
        <v>5.0999999999999997E-2</v>
      </c>
      <c r="Q645">
        <v>4.9000000000000002E-2</v>
      </c>
      <c r="R645">
        <v>4.7E-2</v>
      </c>
      <c r="S645">
        <v>4.2999999999999997E-2</v>
      </c>
      <c r="T645">
        <v>4.2000000000000003E-2</v>
      </c>
      <c r="U645">
        <v>3.5999999999999997E-2</v>
      </c>
      <c r="V645">
        <v>3.5000000000000003E-2</v>
      </c>
      <c r="W645">
        <v>3.5999999999999997E-2</v>
      </c>
      <c r="X645">
        <v>3.5999999999999997E-2</v>
      </c>
      <c r="Y645">
        <v>3.5000000000000003E-2</v>
      </c>
      <c r="Z645">
        <v>3.5000000000000003E-2</v>
      </c>
      <c r="AA645">
        <v>3.5000000000000003E-2</v>
      </c>
      <c r="AB645">
        <v>3.5999999999999997E-2</v>
      </c>
      <c r="AC645">
        <v>3.6999999999999998E-2</v>
      </c>
      <c r="AD645">
        <v>3.7999999999999999E-2</v>
      </c>
      <c r="AE645">
        <v>3.7999999999999999E-2</v>
      </c>
      <c r="AF645">
        <v>3.9E-2</v>
      </c>
      <c r="AG645">
        <v>0.04</v>
      </c>
      <c r="AH645">
        <v>4.1000000000000002E-2</v>
      </c>
      <c r="AI645">
        <v>4.2999999999999997E-2</v>
      </c>
      <c r="AJ645">
        <v>4.8000000000000001E-2</v>
      </c>
      <c r="AK645">
        <v>0.05</v>
      </c>
      <c r="AL645">
        <v>5.0999999999999997E-2</v>
      </c>
      <c r="AM645">
        <v>5.2999999999999999E-2</v>
      </c>
      <c r="AN645">
        <v>5.3999999999999999E-2</v>
      </c>
      <c r="AO645">
        <v>5.3999999999999999E-2</v>
      </c>
      <c r="AP645">
        <v>5.3999999999999999E-2</v>
      </c>
      <c r="AQ645">
        <v>5.3999999999999999E-2</v>
      </c>
      <c r="AR645">
        <v>5.3999999999999999E-2</v>
      </c>
      <c r="AS645">
        <v>5.5E-2</v>
      </c>
      <c r="AT645">
        <v>5.5E-2</v>
      </c>
      <c r="AU645">
        <v>5.6000000000000001E-2</v>
      </c>
      <c r="AV645">
        <v>5.6000000000000001E-2</v>
      </c>
      <c r="AW645">
        <v>5.7000000000000002E-2</v>
      </c>
    </row>
    <row r="646" spans="1:49" x14ac:dyDescent="0.35">
      <c r="A646" t="s">
        <v>13</v>
      </c>
      <c r="B646" t="s">
        <v>65</v>
      </c>
      <c r="C646" t="s">
        <v>66</v>
      </c>
      <c r="D646" t="s">
        <v>67</v>
      </c>
      <c r="F646" t="s">
        <v>42</v>
      </c>
      <c r="G646" t="s">
        <v>39</v>
      </c>
      <c r="H646" t="s">
        <v>39</v>
      </c>
      <c r="I646" t="s">
        <v>39</v>
      </c>
      <c r="J646" t="s">
        <v>39</v>
      </c>
      <c r="K646">
        <v>1E-3</v>
      </c>
      <c r="L646">
        <v>1E-3</v>
      </c>
      <c r="M646">
        <v>1E-3</v>
      </c>
      <c r="N646">
        <v>2E-3</v>
      </c>
      <c r="O646">
        <v>3.0000000000000001E-3</v>
      </c>
      <c r="P646">
        <v>5.0000000000000001E-3</v>
      </c>
      <c r="Q646">
        <v>8.9999999999999993E-3</v>
      </c>
      <c r="R646">
        <v>1.7999999999999999E-2</v>
      </c>
      <c r="S646">
        <v>4.3999999999999997E-2</v>
      </c>
      <c r="T646">
        <v>0.111</v>
      </c>
      <c r="U646">
        <v>0.19</v>
      </c>
      <c r="V646">
        <v>0.24299999999999999</v>
      </c>
      <c r="W646">
        <v>0.29699999999999999</v>
      </c>
      <c r="X646">
        <v>0.36599999999999999</v>
      </c>
      <c r="Y646">
        <v>0.42399999999999999</v>
      </c>
      <c r="Z646">
        <v>0.49199999999999999</v>
      </c>
      <c r="AA646">
        <v>0.63800000000000001</v>
      </c>
      <c r="AB646">
        <v>0.78200000000000003</v>
      </c>
      <c r="AC646">
        <v>0.91900000000000004</v>
      </c>
      <c r="AD646">
        <v>1.06</v>
      </c>
      <c r="AE646">
        <v>1.2350000000000001</v>
      </c>
      <c r="AF646">
        <v>1.3959999999999999</v>
      </c>
      <c r="AG646">
        <v>1.5509999999999999</v>
      </c>
      <c r="AH646">
        <v>1.7070000000000001</v>
      </c>
      <c r="AI646">
        <v>1.8520000000000001</v>
      </c>
      <c r="AJ646">
        <v>1.9410000000000001</v>
      </c>
      <c r="AK646">
        <v>2.1850000000000001</v>
      </c>
      <c r="AL646">
        <v>2.3780000000000001</v>
      </c>
      <c r="AM646">
        <v>2.4990000000000001</v>
      </c>
      <c r="AN646">
        <v>2.698</v>
      </c>
      <c r="AO646">
        <v>2.7949999999999999</v>
      </c>
      <c r="AP646">
        <v>2.9489999999999998</v>
      </c>
      <c r="AQ646">
        <v>3.3290000000000002</v>
      </c>
      <c r="AR646">
        <v>3.5310000000000001</v>
      </c>
      <c r="AS646">
        <v>3.7450000000000001</v>
      </c>
      <c r="AT646">
        <v>3.9630000000000001</v>
      </c>
      <c r="AU646">
        <v>4.1849999999999996</v>
      </c>
      <c r="AV646">
        <v>4.4269999999999996</v>
      </c>
      <c r="AW646">
        <v>4.6840000000000002</v>
      </c>
    </row>
    <row r="647" spans="1:49" x14ac:dyDescent="0.35">
      <c r="A647" t="s">
        <v>13</v>
      </c>
      <c r="B647" t="s">
        <v>68</v>
      </c>
      <c r="C647" t="s">
        <v>69</v>
      </c>
      <c r="D647" t="s">
        <v>70</v>
      </c>
      <c r="F647" t="s">
        <v>219</v>
      </c>
      <c r="G647">
        <v>72.031999999999996</v>
      </c>
      <c r="H647">
        <v>56.289000000000001</v>
      </c>
      <c r="I647">
        <v>47.343000000000004</v>
      </c>
      <c r="J647">
        <v>42.609000000000002</v>
      </c>
      <c r="K647">
        <v>51.011000000000003</v>
      </c>
      <c r="L647">
        <v>65.777000000000001</v>
      </c>
      <c r="M647">
        <v>84.203000000000003</v>
      </c>
      <c r="N647">
        <v>38.488</v>
      </c>
      <c r="O647">
        <v>28.277000000000001</v>
      </c>
      <c r="P647">
        <v>23.664000000000001</v>
      </c>
      <c r="Q647">
        <v>46.182000000000002</v>
      </c>
      <c r="R647">
        <v>30.420999999999999</v>
      </c>
      <c r="S647">
        <v>31.675999999999998</v>
      </c>
      <c r="T647">
        <v>40.35</v>
      </c>
      <c r="U647">
        <v>40.155000000000001</v>
      </c>
      <c r="V647">
        <v>40.368000000000002</v>
      </c>
      <c r="W647">
        <v>34.823999999999998</v>
      </c>
      <c r="X647">
        <v>32.091000000000001</v>
      </c>
      <c r="Y647">
        <v>41.165999999999997</v>
      </c>
      <c r="Z647">
        <v>39.811999999999998</v>
      </c>
      <c r="AA647">
        <v>38.999000000000002</v>
      </c>
      <c r="AB647">
        <v>30.259</v>
      </c>
      <c r="AC647">
        <v>31.677</v>
      </c>
      <c r="AD647">
        <v>37.728000000000002</v>
      </c>
      <c r="AE647">
        <v>37.015000000000001</v>
      </c>
      <c r="AF647">
        <v>30.965</v>
      </c>
      <c r="AG647">
        <v>36.698999999999998</v>
      </c>
      <c r="AH647">
        <v>31.7</v>
      </c>
      <c r="AI647">
        <v>29.63</v>
      </c>
      <c r="AJ647">
        <v>30.277000000000001</v>
      </c>
      <c r="AK647">
        <v>29.878</v>
      </c>
      <c r="AL647">
        <v>33.643999999999998</v>
      </c>
      <c r="AM647">
        <v>31.754999999999999</v>
      </c>
      <c r="AN647">
        <v>34.039000000000001</v>
      </c>
      <c r="AO647">
        <v>34.042999999999999</v>
      </c>
      <c r="AP647">
        <v>42.790999999999997</v>
      </c>
      <c r="AQ647">
        <v>41.744</v>
      </c>
      <c r="AR647">
        <v>41.853000000000002</v>
      </c>
      <c r="AS647">
        <v>43.597000000000001</v>
      </c>
      <c r="AT647">
        <v>42.677</v>
      </c>
      <c r="AU647">
        <v>41.094000000000001</v>
      </c>
      <c r="AV647">
        <v>39.173999999999999</v>
      </c>
      <c r="AW647">
        <v>38.161999999999999</v>
      </c>
    </row>
    <row r="648" spans="1:49" x14ac:dyDescent="0.35">
      <c r="A648" t="s">
        <v>13</v>
      </c>
      <c r="B648" t="s">
        <v>71</v>
      </c>
      <c r="C648" t="s">
        <v>72</v>
      </c>
      <c r="D648" t="s">
        <v>70</v>
      </c>
      <c r="F648" t="s">
        <v>219</v>
      </c>
      <c r="G648">
        <v>10.834</v>
      </c>
      <c r="H648">
        <v>5.1999999999999998E-2</v>
      </c>
      <c r="I648">
        <v>-0.65500000000000003</v>
      </c>
      <c r="J648">
        <v>6.24</v>
      </c>
      <c r="K648">
        <v>7.016</v>
      </c>
      <c r="L648">
        <v>10.765000000000001</v>
      </c>
      <c r="M648">
        <v>14.654</v>
      </c>
      <c r="N648">
        <v>9.5950000000000006</v>
      </c>
      <c r="O648">
        <v>10.802</v>
      </c>
      <c r="P648">
        <v>6.431</v>
      </c>
      <c r="Q648">
        <v>13.538</v>
      </c>
      <c r="R648">
        <v>10.32</v>
      </c>
      <c r="S648">
        <v>7.6070000000000002</v>
      </c>
      <c r="T648">
        <v>11.284000000000001</v>
      </c>
      <c r="U648">
        <v>12.907999999999999</v>
      </c>
      <c r="V648">
        <v>8.1359999999999992</v>
      </c>
      <c r="W648">
        <v>10.013999999999999</v>
      </c>
      <c r="X648">
        <v>6.83</v>
      </c>
      <c r="Y648">
        <v>-0.26700000000000002</v>
      </c>
      <c r="Z648">
        <v>1.5880000000000001</v>
      </c>
      <c r="AA648">
        <v>6.4980000000000002</v>
      </c>
      <c r="AB648">
        <v>3.202</v>
      </c>
      <c r="AC648">
        <v>10.02</v>
      </c>
      <c r="AD648">
        <v>14.946999999999999</v>
      </c>
      <c r="AE648">
        <v>33.999000000000002</v>
      </c>
      <c r="AF648">
        <v>28.178999999999998</v>
      </c>
      <c r="AG648">
        <v>41.344000000000001</v>
      </c>
      <c r="AH648">
        <v>30.462</v>
      </c>
      <c r="AI648">
        <v>26.3</v>
      </c>
      <c r="AJ648">
        <v>36.231000000000002</v>
      </c>
      <c r="AK648">
        <v>37.404000000000003</v>
      </c>
      <c r="AL648">
        <v>38.302</v>
      </c>
      <c r="AM648">
        <v>37.137</v>
      </c>
      <c r="AN648">
        <v>33.448999999999998</v>
      </c>
      <c r="AO648">
        <v>36.146000000000001</v>
      </c>
      <c r="AP648">
        <v>38.880000000000003</v>
      </c>
      <c r="AQ648">
        <v>37.298000000000002</v>
      </c>
      <c r="AR648">
        <v>38.264000000000003</v>
      </c>
      <c r="AS648">
        <v>40.759</v>
      </c>
      <c r="AT648">
        <v>41.203000000000003</v>
      </c>
      <c r="AU648">
        <v>41.075000000000003</v>
      </c>
      <c r="AV648">
        <v>39.021000000000001</v>
      </c>
      <c r="AW648">
        <v>37.761000000000003</v>
      </c>
    </row>
    <row r="649" spans="1:49" x14ac:dyDescent="0.35">
      <c r="A649" t="s">
        <v>13</v>
      </c>
      <c r="B649" t="s">
        <v>73</v>
      </c>
      <c r="C649" t="s">
        <v>74</v>
      </c>
      <c r="D649" t="s">
        <v>47</v>
      </c>
      <c r="F649" t="s">
        <v>220</v>
      </c>
      <c r="G649">
        <v>5.0000000000000001E-3</v>
      </c>
      <c r="H649">
        <v>6.0000000000000001E-3</v>
      </c>
      <c r="I649">
        <v>7.0000000000000001E-3</v>
      </c>
      <c r="J649">
        <v>8.0000000000000002E-3</v>
      </c>
      <c r="K649">
        <v>0.01</v>
      </c>
      <c r="L649">
        <v>1.4E-2</v>
      </c>
      <c r="M649">
        <v>2.1000000000000001E-2</v>
      </c>
      <c r="N649">
        <v>3.1E-2</v>
      </c>
      <c r="O649">
        <v>4.8000000000000001E-2</v>
      </c>
      <c r="P649">
        <v>0.11</v>
      </c>
      <c r="Q649">
        <v>0.23</v>
      </c>
      <c r="R649">
        <v>0.45400000000000001</v>
      </c>
      <c r="S649">
        <v>1.2070000000000001</v>
      </c>
      <c r="T649">
        <v>3.4180000000000001</v>
      </c>
      <c r="U649">
        <v>5.2850000000000001</v>
      </c>
      <c r="V649">
        <v>7.1289999999999996</v>
      </c>
      <c r="W649">
        <v>10.202</v>
      </c>
      <c r="X649">
        <v>12.692</v>
      </c>
      <c r="Y649">
        <v>15.795999999999999</v>
      </c>
      <c r="Z649">
        <v>20.027999999999999</v>
      </c>
      <c r="AA649">
        <v>25.254999999999999</v>
      </c>
      <c r="AB649">
        <v>30.649000000000001</v>
      </c>
      <c r="AC649">
        <v>37.465000000000003</v>
      </c>
      <c r="AD649">
        <v>45.482999999999997</v>
      </c>
      <c r="AE649">
        <v>53.655000000000001</v>
      </c>
      <c r="AF649">
        <v>63.488</v>
      </c>
      <c r="AG649">
        <v>69.212999999999994</v>
      </c>
      <c r="AH649">
        <v>76.587000000000003</v>
      </c>
      <c r="AI649">
        <v>86.122</v>
      </c>
      <c r="AJ649">
        <v>97.655000000000001</v>
      </c>
      <c r="AK649">
        <v>105.956</v>
      </c>
      <c r="AL649">
        <v>115.13</v>
      </c>
      <c r="AM649">
        <v>122.7</v>
      </c>
      <c r="AN649">
        <v>131.26300000000001</v>
      </c>
      <c r="AO649">
        <v>141.51499999999999</v>
      </c>
      <c r="AP649">
        <v>155.81800000000001</v>
      </c>
      <c r="AQ649">
        <v>183.709</v>
      </c>
      <c r="AR649">
        <v>196.20099999999999</v>
      </c>
      <c r="AS649">
        <v>210.72</v>
      </c>
      <c r="AT649">
        <v>227.578</v>
      </c>
      <c r="AU649">
        <v>245.78399999999999</v>
      </c>
      <c r="AV649">
        <v>265.44600000000003</v>
      </c>
      <c r="AW649">
        <v>286.68200000000002</v>
      </c>
    </row>
    <row r="650" spans="1:49" x14ac:dyDescent="0.35">
      <c r="A650" t="s">
        <v>13</v>
      </c>
      <c r="B650" t="s">
        <v>73</v>
      </c>
      <c r="C650" t="s">
        <v>76</v>
      </c>
      <c r="D650" t="s">
        <v>35</v>
      </c>
      <c r="F650" t="s">
        <v>77</v>
      </c>
      <c r="G650">
        <v>11.728999999999999</v>
      </c>
      <c r="H650">
        <v>13.997</v>
      </c>
      <c r="I650">
        <v>12.494999999999999</v>
      </c>
      <c r="J650">
        <v>19.692</v>
      </c>
      <c r="K650">
        <v>20.018999999999998</v>
      </c>
      <c r="L650">
        <v>37.43</v>
      </c>
      <c r="M650">
        <v>54.8</v>
      </c>
      <c r="N650">
        <v>47.027999999999999</v>
      </c>
      <c r="O650">
        <v>54.042000000000002</v>
      </c>
      <c r="P650">
        <v>128.29400000000001</v>
      </c>
      <c r="Q650">
        <v>109.55800000000001</v>
      </c>
      <c r="R650">
        <v>97.700999999999993</v>
      </c>
      <c r="S650">
        <v>165.72499999999999</v>
      </c>
      <c r="T650">
        <v>183.26300000000001</v>
      </c>
      <c r="U650">
        <v>54.613999999999997</v>
      </c>
      <c r="V650">
        <v>34.905000000000001</v>
      </c>
      <c r="W650">
        <v>43.094999999999999</v>
      </c>
      <c r="X650">
        <v>24.41</v>
      </c>
      <c r="Y650">
        <v>24.456</v>
      </c>
      <c r="Z650">
        <v>26.79</v>
      </c>
      <c r="AA650">
        <v>26.1</v>
      </c>
      <c r="AB650">
        <v>21.356999999999999</v>
      </c>
      <c r="AC650">
        <v>22.239000000000001</v>
      </c>
      <c r="AD650">
        <v>21.4</v>
      </c>
      <c r="AE650">
        <v>17.969000000000001</v>
      </c>
      <c r="AF650">
        <v>18.324999999999999</v>
      </c>
      <c r="AG650">
        <v>9.0169999999999995</v>
      </c>
      <c r="AH650">
        <v>10.654999999999999</v>
      </c>
      <c r="AI650">
        <v>12.449</v>
      </c>
      <c r="AJ650">
        <v>13.391999999999999</v>
      </c>
      <c r="AK650">
        <v>8.5</v>
      </c>
      <c r="AL650">
        <v>8.6579999999999995</v>
      </c>
      <c r="AM650">
        <v>6.5750000000000002</v>
      </c>
      <c r="AN650">
        <v>6.9779999999999998</v>
      </c>
      <c r="AO650">
        <v>7.8109999999999999</v>
      </c>
      <c r="AP650">
        <v>10.106999999999999</v>
      </c>
      <c r="AQ650">
        <v>17.899999999999999</v>
      </c>
      <c r="AR650">
        <v>6.8</v>
      </c>
      <c r="AS650">
        <v>7.4</v>
      </c>
      <c r="AT650">
        <v>8</v>
      </c>
      <c r="AU650">
        <v>8</v>
      </c>
      <c r="AV650">
        <v>8</v>
      </c>
      <c r="AW650">
        <v>8</v>
      </c>
    </row>
    <row r="651" spans="1:49" x14ac:dyDescent="0.35">
      <c r="A651" t="s">
        <v>13</v>
      </c>
      <c r="B651" t="s">
        <v>78</v>
      </c>
      <c r="C651" t="s">
        <v>79</v>
      </c>
      <c r="D651" t="s">
        <v>47</v>
      </c>
      <c r="F651" t="s">
        <v>220</v>
      </c>
      <c r="G651">
        <v>8.0000000000000002E-3</v>
      </c>
      <c r="H651">
        <v>8.9999999999999993E-3</v>
      </c>
      <c r="I651">
        <v>1.0999999999999999E-2</v>
      </c>
      <c r="J651">
        <v>1.2999999999999999E-2</v>
      </c>
      <c r="K651">
        <v>1.4999999999999999E-2</v>
      </c>
      <c r="L651">
        <v>2.1000000000000001E-2</v>
      </c>
      <c r="M651">
        <v>3.3000000000000002E-2</v>
      </c>
      <c r="N651">
        <v>4.8000000000000001E-2</v>
      </c>
      <c r="O651">
        <v>7.3999999999999996E-2</v>
      </c>
      <c r="P651">
        <v>0.16900000000000001</v>
      </c>
      <c r="Q651">
        <v>0.33100000000000002</v>
      </c>
      <c r="R651">
        <v>0.66</v>
      </c>
      <c r="S651">
        <v>1.853</v>
      </c>
      <c r="T651">
        <v>4.2270000000000003</v>
      </c>
      <c r="U651">
        <v>5.8479999999999999</v>
      </c>
      <c r="V651">
        <v>8.5370000000000008</v>
      </c>
      <c r="W651">
        <v>11.542999999999999</v>
      </c>
      <c r="X651">
        <v>13.688000000000001</v>
      </c>
      <c r="Y651">
        <v>17.870999999999999</v>
      </c>
      <c r="Z651">
        <v>21.559000000000001</v>
      </c>
      <c r="AA651">
        <v>28.047999999999998</v>
      </c>
      <c r="AB651">
        <v>33.286999999999999</v>
      </c>
      <c r="AC651">
        <v>42.158999999999999</v>
      </c>
      <c r="AD651">
        <v>49.393999999999998</v>
      </c>
      <c r="AE651">
        <v>58.039000000000001</v>
      </c>
      <c r="AF651">
        <v>67.239000000000004</v>
      </c>
      <c r="AG651">
        <v>72.778999999999996</v>
      </c>
      <c r="AH651">
        <v>79.28</v>
      </c>
      <c r="AI651">
        <v>92.409000000000006</v>
      </c>
      <c r="AJ651">
        <v>101.557</v>
      </c>
      <c r="AK651">
        <v>109.58</v>
      </c>
      <c r="AL651">
        <v>117.47</v>
      </c>
      <c r="AM651">
        <v>126.078</v>
      </c>
      <c r="AN651">
        <v>135.08000000000001</v>
      </c>
      <c r="AO651">
        <v>145.69999999999999</v>
      </c>
      <c r="AP651">
        <v>176.46</v>
      </c>
      <c r="AQ651">
        <v>189.69499999999999</v>
      </c>
      <c r="AR651">
        <v>200.697</v>
      </c>
      <c r="AS651">
        <v>216.75299999999999</v>
      </c>
      <c r="AT651">
        <v>234.09299999999999</v>
      </c>
      <c r="AU651">
        <v>252.82</v>
      </c>
      <c r="AV651">
        <v>273.04599999999999</v>
      </c>
      <c r="AW651">
        <v>294.88900000000001</v>
      </c>
    </row>
    <row r="652" spans="1:49" x14ac:dyDescent="0.35">
      <c r="A652" t="s">
        <v>13</v>
      </c>
      <c r="B652" t="s">
        <v>78</v>
      </c>
      <c r="C652" t="s">
        <v>80</v>
      </c>
      <c r="D652" t="s">
        <v>35</v>
      </c>
      <c r="F652" t="s">
        <v>81</v>
      </c>
      <c r="G652" t="s">
        <v>82</v>
      </c>
      <c r="H652">
        <v>13.997</v>
      </c>
      <c r="I652">
        <v>12.494999999999999</v>
      </c>
      <c r="J652">
        <v>19.692</v>
      </c>
      <c r="K652">
        <v>20.018999999999998</v>
      </c>
      <c r="L652">
        <v>37.43</v>
      </c>
      <c r="M652">
        <v>54.8</v>
      </c>
      <c r="N652">
        <v>47.027999999999999</v>
      </c>
      <c r="O652">
        <v>54.042000000000002</v>
      </c>
      <c r="P652">
        <v>128.29400000000001</v>
      </c>
      <c r="Q652">
        <v>96.007999999999996</v>
      </c>
      <c r="R652">
        <v>99.650999999999996</v>
      </c>
      <c r="S652">
        <v>180.715</v>
      </c>
      <c r="T652">
        <v>128.10499999999999</v>
      </c>
      <c r="U652">
        <v>38.354999999999997</v>
      </c>
      <c r="V652">
        <v>45.98</v>
      </c>
      <c r="W652">
        <v>35.21</v>
      </c>
      <c r="X652">
        <v>18.581</v>
      </c>
      <c r="Y652">
        <v>30.567</v>
      </c>
      <c r="Z652">
        <v>20.632999999999999</v>
      </c>
      <c r="AA652">
        <v>30.1</v>
      </c>
      <c r="AB652">
        <v>18.678000000000001</v>
      </c>
      <c r="AC652">
        <v>26.654</v>
      </c>
      <c r="AD652">
        <v>17.161000000000001</v>
      </c>
      <c r="AE652">
        <v>17.501999999999999</v>
      </c>
      <c r="AF652">
        <v>15.851000000000001</v>
      </c>
      <c r="AG652">
        <v>8.2390000000000008</v>
      </c>
      <c r="AH652">
        <v>8.9329999999999998</v>
      </c>
      <c r="AI652">
        <v>16.559999999999999</v>
      </c>
      <c r="AJ652">
        <v>9.9</v>
      </c>
      <c r="AK652">
        <v>7.9</v>
      </c>
      <c r="AL652">
        <v>7.2</v>
      </c>
      <c r="AM652">
        <v>7.3280000000000003</v>
      </c>
      <c r="AN652">
        <v>7.14</v>
      </c>
      <c r="AO652">
        <v>7.8620000000000001</v>
      </c>
      <c r="AP652">
        <v>21.111999999999998</v>
      </c>
      <c r="AQ652">
        <v>7.5</v>
      </c>
      <c r="AR652">
        <v>5.8</v>
      </c>
      <c r="AS652">
        <v>8</v>
      </c>
      <c r="AT652">
        <v>8</v>
      </c>
      <c r="AU652">
        <v>8</v>
      </c>
      <c r="AV652">
        <v>8</v>
      </c>
      <c r="AW652">
        <v>8</v>
      </c>
    </row>
    <row r="653" spans="1:49" x14ac:dyDescent="0.35">
      <c r="A653" t="s">
        <v>13</v>
      </c>
      <c r="B653" t="s">
        <v>83</v>
      </c>
      <c r="D653" t="s">
        <v>64</v>
      </c>
    </row>
    <row r="654" spans="1:49" x14ac:dyDescent="0.35">
      <c r="A654" t="s">
        <v>13</v>
      </c>
      <c r="B654" t="s">
        <v>84</v>
      </c>
      <c r="C654" t="s">
        <v>85</v>
      </c>
      <c r="D654" t="s">
        <v>35</v>
      </c>
      <c r="F654" t="s">
        <v>221</v>
      </c>
      <c r="G654" t="s">
        <v>82</v>
      </c>
      <c r="H654" t="s">
        <v>82</v>
      </c>
      <c r="I654" t="s">
        <v>82</v>
      </c>
      <c r="J654" t="s">
        <v>82</v>
      </c>
      <c r="K654" t="s">
        <v>82</v>
      </c>
      <c r="L654" t="s">
        <v>82</v>
      </c>
      <c r="M654" t="s">
        <v>82</v>
      </c>
      <c r="N654" t="s">
        <v>82</v>
      </c>
      <c r="O654" t="s">
        <v>82</v>
      </c>
      <c r="P654" t="s">
        <v>82</v>
      </c>
      <c r="Q654" t="s">
        <v>82</v>
      </c>
      <c r="R654" t="s">
        <v>82</v>
      </c>
      <c r="S654" t="s">
        <v>82</v>
      </c>
      <c r="T654" t="s">
        <v>82</v>
      </c>
      <c r="U654" t="s">
        <v>82</v>
      </c>
      <c r="V654" t="s">
        <v>82</v>
      </c>
      <c r="W654" t="s">
        <v>82</v>
      </c>
      <c r="X654" t="s">
        <v>82</v>
      </c>
      <c r="Y654" t="s">
        <v>82</v>
      </c>
      <c r="Z654" t="s">
        <v>82</v>
      </c>
      <c r="AA654">
        <v>2.5150000000000001</v>
      </c>
      <c r="AB654">
        <v>34.253</v>
      </c>
      <c r="AC654">
        <v>-4.4640000000000004</v>
      </c>
      <c r="AD654">
        <v>3.5790000000000002</v>
      </c>
      <c r="AE654">
        <v>20.808</v>
      </c>
      <c r="AF654">
        <v>10.037000000000001</v>
      </c>
      <c r="AG654">
        <v>15.087999999999999</v>
      </c>
      <c r="AH654">
        <v>30.748000000000001</v>
      </c>
      <c r="AI654">
        <v>12.263999999999999</v>
      </c>
      <c r="AJ654">
        <v>-14.346</v>
      </c>
      <c r="AK654">
        <v>32.67</v>
      </c>
      <c r="AL654">
        <v>27.015000000000001</v>
      </c>
      <c r="AM654">
        <v>24.655999999999999</v>
      </c>
      <c r="AN654">
        <v>16.579000000000001</v>
      </c>
      <c r="AO654">
        <v>-6.7160000000000002</v>
      </c>
      <c r="AP654">
        <v>3.3769999999999998</v>
      </c>
      <c r="AQ654">
        <v>-6.04</v>
      </c>
      <c r="AR654">
        <v>10.773999999999999</v>
      </c>
      <c r="AS654">
        <v>10.484</v>
      </c>
      <c r="AT654">
        <v>5.7720000000000002</v>
      </c>
      <c r="AU654">
        <v>2.4409999999999998</v>
      </c>
      <c r="AV654">
        <v>8.9860000000000007</v>
      </c>
      <c r="AW654">
        <v>6.6820000000000004</v>
      </c>
    </row>
    <row r="655" spans="1:49" x14ac:dyDescent="0.35">
      <c r="A655" t="s">
        <v>13</v>
      </c>
      <c r="B655" t="s">
        <v>87</v>
      </c>
      <c r="C655" t="s">
        <v>88</v>
      </c>
      <c r="D655" t="s">
        <v>35</v>
      </c>
      <c r="F655" t="s">
        <v>221</v>
      </c>
      <c r="G655" t="s">
        <v>82</v>
      </c>
      <c r="H655" t="s">
        <v>82</v>
      </c>
      <c r="I655" t="s">
        <v>82</v>
      </c>
      <c r="J655" t="s">
        <v>82</v>
      </c>
      <c r="K655" t="s">
        <v>82</v>
      </c>
      <c r="L655" t="s">
        <v>82</v>
      </c>
      <c r="M655" t="s">
        <v>82</v>
      </c>
      <c r="N655" t="s">
        <v>82</v>
      </c>
      <c r="O655" t="s">
        <v>82</v>
      </c>
      <c r="P655" t="s">
        <v>82</v>
      </c>
      <c r="Q655" t="s">
        <v>82</v>
      </c>
      <c r="R655" t="s">
        <v>82</v>
      </c>
      <c r="S655" t="s">
        <v>82</v>
      </c>
      <c r="T655" t="s">
        <v>82</v>
      </c>
      <c r="U655" t="s">
        <v>82</v>
      </c>
      <c r="V655" t="s">
        <v>82</v>
      </c>
      <c r="W655" t="s">
        <v>82</v>
      </c>
      <c r="X655" t="s">
        <v>82</v>
      </c>
      <c r="Y655" t="s">
        <v>82</v>
      </c>
      <c r="Z655" t="s">
        <v>82</v>
      </c>
      <c r="AA655">
        <v>2.5150000000000001</v>
      </c>
      <c r="AB655">
        <v>34.253</v>
      </c>
      <c r="AC655">
        <v>-4.4640000000000004</v>
      </c>
      <c r="AD655">
        <v>3.5790000000000002</v>
      </c>
      <c r="AE655">
        <v>20.808</v>
      </c>
      <c r="AF655">
        <v>10.037000000000001</v>
      </c>
      <c r="AG655">
        <v>15.087999999999999</v>
      </c>
      <c r="AH655">
        <v>30.748000000000001</v>
      </c>
      <c r="AI655">
        <v>12.263999999999999</v>
      </c>
      <c r="AJ655">
        <v>-14.346</v>
      </c>
      <c r="AK655">
        <v>32.67</v>
      </c>
      <c r="AL655">
        <v>27.015000000000001</v>
      </c>
      <c r="AM655">
        <v>24.655999999999999</v>
      </c>
      <c r="AN655">
        <v>16.579000000000001</v>
      </c>
      <c r="AO655">
        <v>-6.7160000000000002</v>
      </c>
      <c r="AP655">
        <v>3.3769999999999998</v>
      </c>
      <c r="AQ655">
        <v>-6.04</v>
      </c>
      <c r="AR655">
        <v>10.773999999999999</v>
      </c>
      <c r="AS655">
        <v>10.484</v>
      </c>
      <c r="AT655">
        <v>5.7720000000000002</v>
      </c>
      <c r="AU655">
        <v>2.4409999999999998</v>
      </c>
      <c r="AV655">
        <v>8.9860000000000007</v>
      </c>
      <c r="AW655">
        <v>6.6820000000000004</v>
      </c>
    </row>
    <row r="656" spans="1:49" x14ac:dyDescent="0.35">
      <c r="A656" t="s">
        <v>13</v>
      </c>
      <c r="B656" t="s">
        <v>89</v>
      </c>
      <c r="C656" t="s">
        <v>90</v>
      </c>
      <c r="D656" t="s">
        <v>35</v>
      </c>
      <c r="F656" t="s">
        <v>221</v>
      </c>
      <c r="G656" t="s">
        <v>82</v>
      </c>
      <c r="H656" t="s">
        <v>82</v>
      </c>
      <c r="I656" t="s">
        <v>82</v>
      </c>
      <c r="J656" t="s">
        <v>82</v>
      </c>
      <c r="K656" t="s">
        <v>82</v>
      </c>
      <c r="L656" t="s">
        <v>82</v>
      </c>
      <c r="M656" t="s">
        <v>82</v>
      </c>
      <c r="N656" t="s">
        <v>82</v>
      </c>
      <c r="O656" t="s">
        <v>82</v>
      </c>
      <c r="P656" t="s">
        <v>82</v>
      </c>
      <c r="Q656" t="s">
        <v>82</v>
      </c>
      <c r="R656" t="s">
        <v>82</v>
      </c>
      <c r="S656" t="s">
        <v>82</v>
      </c>
      <c r="T656" t="s">
        <v>82</v>
      </c>
      <c r="U656" t="s">
        <v>82</v>
      </c>
      <c r="V656" t="s">
        <v>82</v>
      </c>
      <c r="W656" t="s">
        <v>82</v>
      </c>
      <c r="X656" t="s">
        <v>82</v>
      </c>
      <c r="Y656" t="s">
        <v>82</v>
      </c>
      <c r="Z656" t="s">
        <v>82</v>
      </c>
      <c r="AA656">
        <v>-6.1790000000000003</v>
      </c>
      <c r="AB656">
        <v>26.175000000000001</v>
      </c>
      <c r="AC656">
        <v>12.827</v>
      </c>
      <c r="AD656">
        <v>-3.2069999999999999</v>
      </c>
      <c r="AE656">
        <v>16.95</v>
      </c>
      <c r="AF656">
        <v>6.2930000000000001</v>
      </c>
      <c r="AG656">
        <v>6.3029999999999999</v>
      </c>
      <c r="AH656">
        <v>3.0960000000000001</v>
      </c>
      <c r="AI656">
        <v>7.6459999999999999</v>
      </c>
      <c r="AJ656">
        <v>20.047999999999998</v>
      </c>
      <c r="AK656">
        <v>20.529</v>
      </c>
      <c r="AL656">
        <v>2.1619999999999999</v>
      </c>
      <c r="AM656">
        <v>27.841000000000001</v>
      </c>
      <c r="AN656">
        <v>21.766999999999999</v>
      </c>
      <c r="AO656">
        <v>-3.4620000000000002</v>
      </c>
      <c r="AP656">
        <v>-11.095000000000001</v>
      </c>
      <c r="AQ656">
        <v>-4.7629999999999999</v>
      </c>
      <c r="AR656">
        <v>5.1219999999999999</v>
      </c>
      <c r="AS656">
        <v>9.3680000000000003</v>
      </c>
      <c r="AT656">
        <v>7.133</v>
      </c>
      <c r="AU656">
        <v>6.1740000000000004</v>
      </c>
      <c r="AV656">
        <v>7.5019999999999998</v>
      </c>
      <c r="AW656">
        <v>7.5039999999999996</v>
      </c>
    </row>
    <row r="657" spans="1:49" x14ac:dyDescent="0.35">
      <c r="A657" t="s">
        <v>13</v>
      </c>
      <c r="B657" t="s">
        <v>91</v>
      </c>
      <c r="C657" t="s">
        <v>92</v>
      </c>
      <c r="D657" t="s">
        <v>35</v>
      </c>
      <c r="F657" t="s">
        <v>221</v>
      </c>
      <c r="G657" t="s">
        <v>82</v>
      </c>
      <c r="H657" t="s">
        <v>82</v>
      </c>
      <c r="I657" t="s">
        <v>82</v>
      </c>
      <c r="J657" t="s">
        <v>82</v>
      </c>
      <c r="K657" t="s">
        <v>82</v>
      </c>
      <c r="L657" t="s">
        <v>82</v>
      </c>
      <c r="M657" t="s">
        <v>82</v>
      </c>
      <c r="N657" t="s">
        <v>82</v>
      </c>
      <c r="O657" t="s">
        <v>82</v>
      </c>
      <c r="P657" t="s">
        <v>82</v>
      </c>
      <c r="Q657" t="s">
        <v>82</v>
      </c>
      <c r="R657" t="s">
        <v>82</v>
      </c>
      <c r="S657" t="s">
        <v>82</v>
      </c>
      <c r="T657" t="s">
        <v>82</v>
      </c>
      <c r="U657" t="s">
        <v>82</v>
      </c>
      <c r="V657" t="s">
        <v>82</v>
      </c>
      <c r="W657" t="s">
        <v>82</v>
      </c>
      <c r="X657" t="s">
        <v>82</v>
      </c>
      <c r="Y657" t="s">
        <v>82</v>
      </c>
      <c r="Z657" t="s">
        <v>82</v>
      </c>
      <c r="AA657">
        <v>-6.1790000000000003</v>
      </c>
      <c r="AB657">
        <v>26.175000000000001</v>
      </c>
      <c r="AC657">
        <v>12.827</v>
      </c>
      <c r="AD657">
        <v>-3.2069999999999999</v>
      </c>
      <c r="AE657">
        <v>16.95</v>
      </c>
      <c r="AF657">
        <v>6.2930000000000001</v>
      </c>
      <c r="AG657">
        <v>6.3029999999999999</v>
      </c>
      <c r="AH657">
        <v>3.0960000000000001</v>
      </c>
      <c r="AI657">
        <v>7.6459999999999999</v>
      </c>
      <c r="AJ657">
        <v>20.047999999999998</v>
      </c>
      <c r="AK657">
        <v>20.529</v>
      </c>
      <c r="AL657">
        <v>2.1619999999999999</v>
      </c>
      <c r="AM657">
        <v>27.841000000000001</v>
      </c>
      <c r="AN657">
        <v>21.766999999999999</v>
      </c>
      <c r="AO657">
        <v>-3.4620000000000002</v>
      </c>
      <c r="AP657">
        <v>-11.095000000000001</v>
      </c>
      <c r="AQ657">
        <v>-4.7629999999999999</v>
      </c>
      <c r="AR657">
        <v>5.1219999999999999</v>
      </c>
      <c r="AS657">
        <v>9.3680000000000003</v>
      </c>
      <c r="AT657">
        <v>7.133</v>
      </c>
      <c r="AU657">
        <v>6.1740000000000004</v>
      </c>
      <c r="AV657">
        <v>7.5019999999999998</v>
      </c>
      <c r="AW657">
        <v>7.5039999999999996</v>
      </c>
    </row>
    <row r="658" spans="1:49" x14ac:dyDescent="0.35">
      <c r="A658" t="s">
        <v>13</v>
      </c>
      <c r="B658" t="s">
        <v>93</v>
      </c>
      <c r="C658" t="s">
        <v>94</v>
      </c>
      <c r="D658" t="s">
        <v>95</v>
      </c>
    </row>
    <row r="659" spans="1:49" x14ac:dyDescent="0.35">
      <c r="A659" t="s">
        <v>13</v>
      </c>
      <c r="B659" t="s">
        <v>96</v>
      </c>
      <c r="C659" t="s">
        <v>97</v>
      </c>
      <c r="D659" t="s">
        <v>98</v>
      </c>
      <c r="E659" t="s">
        <v>99</v>
      </c>
    </row>
    <row r="660" spans="1:49" x14ac:dyDescent="0.35">
      <c r="A660" t="s">
        <v>13</v>
      </c>
      <c r="B660" t="s">
        <v>100</v>
      </c>
      <c r="C660" t="s">
        <v>101</v>
      </c>
      <c r="D660" t="s">
        <v>98</v>
      </c>
      <c r="E660" t="s">
        <v>99</v>
      </c>
      <c r="F660" t="s">
        <v>222</v>
      </c>
      <c r="G660">
        <v>5.907</v>
      </c>
      <c r="H660">
        <v>6.101</v>
      </c>
      <c r="I660">
        <v>6.2969999999999997</v>
      </c>
      <c r="J660">
        <v>6.4950000000000001</v>
      </c>
      <c r="K660">
        <v>6.6950000000000003</v>
      </c>
      <c r="L660">
        <v>6.8970000000000002</v>
      </c>
      <c r="M660">
        <v>7.1040000000000001</v>
      </c>
      <c r="N660">
        <v>7.3170000000000002</v>
      </c>
      <c r="O660">
        <v>7.5380000000000003</v>
      </c>
      <c r="P660">
        <v>7.7690000000000001</v>
      </c>
      <c r="Q660">
        <v>8.0129999999999999</v>
      </c>
      <c r="R660">
        <v>8.2590000000000003</v>
      </c>
      <c r="S660">
        <v>8.5050000000000008</v>
      </c>
      <c r="T660">
        <v>8.7509999999999994</v>
      </c>
      <c r="U660">
        <v>9.0180000000000007</v>
      </c>
      <c r="V660">
        <v>9.2539999999999996</v>
      </c>
      <c r="W660">
        <v>9.5020000000000007</v>
      </c>
      <c r="X660">
        <v>9.7639999999999993</v>
      </c>
      <c r="Y660">
        <v>10.034000000000001</v>
      </c>
      <c r="Z660">
        <v>10.308999999999999</v>
      </c>
      <c r="AA660">
        <v>10.585000000000001</v>
      </c>
      <c r="AB660">
        <v>10.861000000000001</v>
      </c>
      <c r="AC660">
        <v>11.14</v>
      </c>
      <c r="AD660">
        <v>11.426</v>
      </c>
      <c r="AE660">
        <v>11.726000000000001</v>
      </c>
      <c r="AF660">
        <v>12.044</v>
      </c>
      <c r="AG660">
        <v>12.382</v>
      </c>
      <c r="AH660">
        <v>12.739000000000001</v>
      </c>
      <c r="AI660">
        <v>13.115</v>
      </c>
      <c r="AJ660">
        <v>13.507999999999999</v>
      </c>
      <c r="AK660">
        <v>13.917</v>
      </c>
      <c r="AL660">
        <v>14.343999999999999</v>
      </c>
      <c r="AM660">
        <v>14.787000000000001</v>
      </c>
      <c r="AN660">
        <v>15.246</v>
      </c>
      <c r="AO660">
        <v>15.721</v>
      </c>
      <c r="AP660">
        <v>16.212</v>
      </c>
      <c r="AQ660">
        <v>16.716999999999999</v>
      </c>
      <c r="AR660">
        <v>17.238</v>
      </c>
      <c r="AS660">
        <v>17.773</v>
      </c>
      <c r="AT660">
        <v>18.321000000000002</v>
      </c>
      <c r="AU660">
        <v>18.882000000000001</v>
      </c>
      <c r="AV660">
        <v>19.456</v>
      </c>
      <c r="AW660">
        <v>20.042999999999999</v>
      </c>
    </row>
    <row r="661" spans="1:49" x14ac:dyDescent="0.35">
      <c r="A661" t="s">
        <v>13</v>
      </c>
      <c r="B661" t="s">
        <v>103</v>
      </c>
      <c r="C661" t="s">
        <v>104</v>
      </c>
      <c r="D661" t="s">
        <v>31</v>
      </c>
      <c r="E661" t="s">
        <v>32</v>
      </c>
      <c r="F661" t="s">
        <v>223</v>
      </c>
      <c r="G661" t="s">
        <v>82</v>
      </c>
      <c r="H661" t="s">
        <v>82</v>
      </c>
      <c r="I661" t="s">
        <v>82</v>
      </c>
      <c r="J661" t="s">
        <v>82</v>
      </c>
      <c r="K661" t="s">
        <v>82</v>
      </c>
      <c r="L661" t="s">
        <v>82</v>
      </c>
      <c r="M661" t="s">
        <v>82</v>
      </c>
      <c r="N661" t="s">
        <v>82</v>
      </c>
      <c r="O661" t="s">
        <v>82</v>
      </c>
      <c r="P661" t="s">
        <v>82</v>
      </c>
      <c r="Q661" t="s">
        <v>82</v>
      </c>
      <c r="R661" t="s">
        <v>82</v>
      </c>
      <c r="S661" t="s">
        <v>82</v>
      </c>
      <c r="T661" t="s">
        <v>82</v>
      </c>
      <c r="U661" t="s">
        <v>82</v>
      </c>
      <c r="V661" t="s">
        <v>82</v>
      </c>
      <c r="W661" t="s">
        <v>82</v>
      </c>
      <c r="X661" t="s">
        <v>82</v>
      </c>
      <c r="Y661" t="s">
        <v>82</v>
      </c>
      <c r="Z661" t="s">
        <v>82</v>
      </c>
      <c r="AA661">
        <v>2.528</v>
      </c>
      <c r="AB661">
        <v>3.2629999999999999</v>
      </c>
      <c r="AC661">
        <v>4.2560000000000002</v>
      </c>
      <c r="AD661">
        <v>5.1040000000000001</v>
      </c>
      <c r="AE661">
        <v>6.173</v>
      </c>
      <c r="AF661">
        <v>7.4669999999999996</v>
      </c>
      <c r="AG661">
        <v>16.824999999999999</v>
      </c>
      <c r="AH661">
        <v>10.625999999999999</v>
      </c>
      <c r="AI661">
        <v>12.606</v>
      </c>
      <c r="AJ661">
        <v>12.182</v>
      </c>
      <c r="AK661">
        <v>15.198</v>
      </c>
      <c r="AL661">
        <v>20.233000000000001</v>
      </c>
      <c r="AM661">
        <v>24.541</v>
      </c>
      <c r="AN661">
        <v>26.678000000000001</v>
      </c>
      <c r="AO661">
        <v>31.564</v>
      </c>
      <c r="AP661">
        <v>34.420999999999999</v>
      </c>
      <c r="AQ661">
        <v>39.409999999999997</v>
      </c>
      <c r="AR661">
        <v>42.058</v>
      </c>
      <c r="AS661">
        <v>50.484999999999999</v>
      </c>
      <c r="AT661">
        <v>57.158999999999999</v>
      </c>
      <c r="AU661">
        <v>66.114000000000004</v>
      </c>
      <c r="AV661">
        <v>76.509</v>
      </c>
      <c r="AW661">
        <v>86.988</v>
      </c>
    </row>
    <row r="662" spans="1:49" x14ac:dyDescent="0.35">
      <c r="A662" t="s">
        <v>13</v>
      </c>
      <c r="B662" t="s">
        <v>103</v>
      </c>
      <c r="C662" t="s">
        <v>104</v>
      </c>
      <c r="D662" t="s">
        <v>70</v>
      </c>
      <c r="F662" t="s">
        <v>106</v>
      </c>
      <c r="G662" t="s">
        <v>82</v>
      </c>
      <c r="H662" t="s">
        <v>82</v>
      </c>
      <c r="I662" t="s">
        <v>82</v>
      </c>
      <c r="J662" t="s">
        <v>82</v>
      </c>
      <c r="K662" t="s">
        <v>82</v>
      </c>
      <c r="L662" t="s">
        <v>82</v>
      </c>
      <c r="M662" t="s">
        <v>82</v>
      </c>
      <c r="N662" t="s">
        <v>82</v>
      </c>
      <c r="O662" t="s">
        <v>82</v>
      </c>
      <c r="P662" t="s">
        <v>82</v>
      </c>
      <c r="Q662" t="s">
        <v>82</v>
      </c>
      <c r="R662" t="s">
        <v>82</v>
      </c>
      <c r="S662" t="s">
        <v>82</v>
      </c>
      <c r="T662" t="s">
        <v>82</v>
      </c>
      <c r="U662" t="s">
        <v>82</v>
      </c>
      <c r="V662" t="s">
        <v>82</v>
      </c>
      <c r="W662" t="s">
        <v>82</v>
      </c>
      <c r="X662" t="s">
        <v>82</v>
      </c>
      <c r="Y662" t="s">
        <v>82</v>
      </c>
      <c r="Z662" t="s">
        <v>82</v>
      </c>
      <c r="AA662">
        <v>22.568999999999999</v>
      </c>
      <c r="AB662">
        <v>22.07</v>
      </c>
      <c r="AC662">
        <v>23.071999999999999</v>
      </c>
      <c r="AD662">
        <v>21.998999999999999</v>
      </c>
      <c r="AE662">
        <v>20.763999999999999</v>
      </c>
      <c r="AF662">
        <v>20.079000000000001</v>
      </c>
      <c r="AG662">
        <v>36.603999999999999</v>
      </c>
      <c r="AH662">
        <v>18.885999999999999</v>
      </c>
      <c r="AI662">
        <v>18.79</v>
      </c>
      <c r="AJ662">
        <v>15.75</v>
      </c>
      <c r="AK662">
        <v>15.634</v>
      </c>
      <c r="AL662">
        <v>17.742999999999999</v>
      </c>
      <c r="AM662">
        <v>18.693999999999999</v>
      </c>
      <c r="AN662">
        <v>17.629000000000001</v>
      </c>
      <c r="AO662">
        <v>18.895</v>
      </c>
      <c r="AP662">
        <v>18.77</v>
      </c>
      <c r="AQ662">
        <v>18.175999999999998</v>
      </c>
      <c r="AR662">
        <v>17.288</v>
      </c>
      <c r="AS662">
        <v>18.367999999999999</v>
      </c>
      <c r="AT662">
        <v>18.420000000000002</v>
      </c>
      <c r="AU662">
        <v>18.914000000000001</v>
      </c>
      <c r="AV662">
        <v>19.404</v>
      </c>
      <c r="AW662">
        <v>19.576000000000001</v>
      </c>
    </row>
    <row r="663" spans="1:49" x14ac:dyDescent="0.35">
      <c r="A663" t="s">
        <v>13</v>
      </c>
      <c r="B663" t="s">
        <v>107</v>
      </c>
      <c r="C663" t="s">
        <v>108</v>
      </c>
      <c r="D663" t="s">
        <v>31</v>
      </c>
      <c r="E663" t="s">
        <v>32</v>
      </c>
      <c r="F663" t="s">
        <v>223</v>
      </c>
      <c r="G663" t="s">
        <v>82</v>
      </c>
      <c r="H663" t="s">
        <v>82</v>
      </c>
      <c r="I663" t="s">
        <v>82</v>
      </c>
      <c r="J663" t="s">
        <v>82</v>
      </c>
      <c r="K663" t="s">
        <v>82</v>
      </c>
      <c r="L663" t="s">
        <v>82</v>
      </c>
      <c r="M663" t="s">
        <v>82</v>
      </c>
      <c r="N663" t="s">
        <v>82</v>
      </c>
      <c r="O663" t="s">
        <v>82</v>
      </c>
      <c r="P663" t="s">
        <v>82</v>
      </c>
      <c r="Q663" t="s">
        <v>82</v>
      </c>
      <c r="R663" t="s">
        <v>82</v>
      </c>
      <c r="S663" t="s">
        <v>82</v>
      </c>
      <c r="T663" t="s">
        <v>82</v>
      </c>
      <c r="U663" t="s">
        <v>82</v>
      </c>
      <c r="V663" t="s">
        <v>82</v>
      </c>
      <c r="W663" t="s">
        <v>82</v>
      </c>
      <c r="X663" t="s">
        <v>82</v>
      </c>
      <c r="Y663" t="s">
        <v>82</v>
      </c>
      <c r="Z663" t="s">
        <v>82</v>
      </c>
      <c r="AA663">
        <v>2.3980000000000001</v>
      </c>
      <c r="AB663">
        <v>4.1340000000000003</v>
      </c>
      <c r="AC663">
        <v>5.0860000000000003</v>
      </c>
      <c r="AD663">
        <v>6.3369999999999997</v>
      </c>
      <c r="AE663">
        <v>6.9189999999999996</v>
      </c>
      <c r="AF663">
        <v>8.35</v>
      </c>
      <c r="AG663">
        <v>9.0510000000000002</v>
      </c>
      <c r="AH663">
        <v>11.209</v>
      </c>
      <c r="AI663">
        <v>13.054</v>
      </c>
      <c r="AJ663">
        <v>13.773</v>
      </c>
      <c r="AK663">
        <v>17.562999999999999</v>
      </c>
      <c r="AL663">
        <v>22.266999999999999</v>
      </c>
      <c r="AM663">
        <v>28.257999999999999</v>
      </c>
      <c r="AN663">
        <v>35.987000000000002</v>
      </c>
      <c r="AO663">
        <v>41.094000000000001</v>
      </c>
      <c r="AP663">
        <v>51.545000000000002</v>
      </c>
      <c r="AQ663">
        <v>51.945</v>
      </c>
      <c r="AR663">
        <v>61.448999999999998</v>
      </c>
      <c r="AS663">
        <v>71.914000000000001</v>
      </c>
      <c r="AT663">
        <v>79.436999999999998</v>
      </c>
      <c r="AU663">
        <v>88.97</v>
      </c>
      <c r="AV663">
        <v>97.347999999999999</v>
      </c>
      <c r="AW663">
        <v>105.98099999999999</v>
      </c>
    </row>
    <row r="664" spans="1:49" x14ac:dyDescent="0.35">
      <c r="A664" t="s">
        <v>13</v>
      </c>
      <c r="B664" t="s">
        <v>107</v>
      </c>
      <c r="C664" t="s">
        <v>108</v>
      </c>
      <c r="D664" t="s">
        <v>70</v>
      </c>
      <c r="F664" t="s">
        <v>109</v>
      </c>
      <c r="G664" t="s">
        <v>82</v>
      </c>
      <c r="H664" t="s">
        <v>82</v>
      </c>
      <c r="I664" t="s">
        <v>82</v>
      </c>
      <c r="J664" t="s">
        <v>82</v>
      </c>
      <c r="K664" t="s">
        <v>82</v>
      </c>
      <c r="L664" t="s">
        <v>82</v>
      </c>
      <c r="M664" t="s">
        <v>82</v>
      </c>
      <c r="N664" t="s">
        <v>82</v>
      </c>
      <c r="O664" t="s">
        <v>82</v>
      </c>
      <c r="P664" t="s">
        <v>82</v>
      </c>
      <c r="Q664" t="s">
        <v>82</v>
      </c>
      <c r="R664" t="s">
        <v>82</v>
      </c>
      <c r="S664" t="s">
        <v>82</v>
      </c>
      <c r="T664" t="s">
        <v>82</v>
      </c>
      <c r="U664" t="s">
        <v>82</v>
      </c>
      <c r="V664" t="s">
        <v>82</v>
      </c>
      <c r="W664" t="s">
        <v>82</v>
      </c>
      <c r="X664" t="s">
        <v>82</v>
      </c>
      <c r="Y664" t="s">
        <v>82</v>
      </c>
      <c r="Z664" t="s">
        <v>82</v>
      </c>
      <c r="AA664">
        <v>21.408999999999999</v>
      </c>
      <c r="AB664">
        <v>27.962</v>
      </c>
      <c r="AC664">
        <v>27.571000000000002</v>
      </c>
      <c r="AD664">
        <v>27.312999999999999</v>
      </c>
      <c r="AE664">
        <v>23.273</v>
      </c>
      <c r="AF664">
        <v>22.451000000000001</v>
      </c>
      <c r="AG664">
        <v>19.692</v>
      </c>
      <c r="AH664">
        <v>19.922999999999998</v>
      </c>
      <c r="AI664">
        <v>19.457000000000001</v>
      </c>
      <c r="AJ664">
        <v>17.806999999999999</v>
      </c>
      <c r="AK664">
        <v>18.065999999999999</v>
      </c>
      <c r="AL664">
        <v>19.527000000000001</v>
      </c>
      <c r="AM664">
        <v>21.526</v>
      </c>
      <c r="AN664">
        <v>23.780999999999999</v>
      </c>
      <c r="AO664">
        <v>24.599</v>
      </c>
      <c r="AP664">
        <v>28.108000000000001</v>
      </c>
      <c r="AQ664">
        <v>23.957000000000001</v>
      </c>
      <c r="AR664">
        <v>25.257999999999999</v>
      </c>
      <c r="AS664">
        <v>26.164999999999999</v>
      </c>
      <c r="AT664">
        <v>25.6</v>
      </c>
      <c r="AU664">
        <v>25.452999999999999</v>
      </c>
      <c r="AV664">
        <v>24.689</v>
      </c>
      <c r="AW664">
        <v>23.85</v>
      </c>
    </row>
    <row r="665" spans="1:49" x14ac:dyDescent="0.35">
      <c r="A665" t="s">
        <v>13</v>
      </c>
      <c r="B665" t="s">
        <v>110</v>
      </c>
      <c r="C665" t="s">
        <v>111</v>
      </c>
      <c r="D665" t="s">
        <v>31</v>
      </c>
      <c r="E665" t="s">
        <v>32</v>
      </c>
      <c r="F665" t="s">
        <v>223</v>
      </c>
      <c r="G665" t="s">
        <v>82</v>
      </c>
      <c r="H665" t="s">
        <v>82</v>
      </c>
      <c r="I665" t="s">
        <v>82</v>
      </c>
      <c r="J665" t="s">
        <v>82</v>
      </c>
      <c r="K665" t="s">
        <v>82</v>
      </c>
      <c r="L665" t="s">
        <v>82</v>
      </c>
      <c r="M665" t="s">
        <v>82</v>
      </c>
      <c r="N665" t="s">
        <v>82</v>
      </c>
      <c r="O665" t="s">
        <v>82</v>
      </c>
      <c r="P665" t="s">
        <v>82</v>
      </c>
      <c r="Q665" t="s">
        <v>82</v>
      </c>
      <c r="R665" t="s">
        <v>82</v>
      </c>
      <c r="S665" t="s">
        <v>82</v>
      </c>
      <c r="T665" t="s">
        <v>82</v>
      </c>
      <c r="U665" t="s">
        <v>82</v>
      </c>
      <c r="V665" t="s">
        <v>82</v>
      </c>
      <c r="W665" t="s">
        <v>82</v>
      </c>
      <c r="X665" t="s">
        <v>82</v>
      </c>
      <c r="Y665" t="s">
        <v>82</v>
      </c>
      <c r="Z665" t="s">
        <v>82</v>
      </c>
      <c r="AA665">
        <v>0.13</v>
      </c>
      <c r="AB665">
        <v>-0.871</v>
      </c>
      <c r="AC665">
        <v>-0.83</v>
      </c>
      <c r="AD665">
        <v>-1.2330000000000001</v>
      </c>
      <c r="AE665">
        <v>-0.746</v>
      </c>
      <c r="AF665">
        <v>-0.88200000000000001</v>
      </c>
      <c r="AG665">
        <v>7.774</v>
      </c>
      <c r="AH665">
        <v>-0.58299999999999996</v>
      </c>
      <c r="AI665">
        <v>-0.44800000000000001</v>
      </c>
      <c r="AJ665">
        <v>-1.591</v>
      </c>
      <c r="AK665">
        <v>-2.3639999999999999</v>
      </c>
      <c r="AL665">
        <v>-2.0339999999999998</v>
      </c>
      <c r="AM665">
        <v>-3.7170000000000001</v>
      </c>
      <c r="AN665">
        <v>-9.3089999999999993</v>
      </c>
      <c r="AO665">
        <v>-9.5299999999999994</v>
      </c>
      <c r="AP665">
        <v>-17.123999999999999</v>
      </c>
      <c r="AQ665">
        <v>-12.535</v>
      </c>
      <c r="AR665">
        <v>-19.391999999999999</v>
      </c>
      <c r="AS665">
        <v>-21.428999999999998</v>
      </c>
      <c r="AT665">
        <v>-22.279</v>
      </c>
      <c r="AU665">
        <v>-22.856000000000002</v>
      </c>
      <c r="AV665">
        <v>-20.838999999999999</v>
      </c>
      <c r="AW665">
        <v>-18.992000000000001</v>
      </c>
    </row>
    <row r="666" spans="1:49" x14ac:dyDescent="0.35">
      <c r="A666" t="s">
        <v>13</v>
      </c>
      <c r="B666" t="s">
        <v>110</v>
      </c>
      <c r="C666" t="s">
        <v>111</v>
      </c>
      <c r="D666" t="s">
        <v>70</v>
      </c>
      <c r="F666" t="s">
        <v>112</v>
      </c>
      <c r="G666" t="s">
        <v>82</v>
      </c>
      <c r="H666" t="s">
        <v>82</v>
      </c>
      <c r="I666" t="s">
        <v>82</v>
      </c>
      <c r="J666" t="s">
        <v>82</v>
      </c>
      <c r="K666" t="s">
        <v>82</v>
      </c>
      <c r="L666" t="s">
        <v>82</v>
      </c>
      <c r="M666" t="s">
        <v>82</v>
      </c>
      <c r="N666" t="s">
        <v>82</v>
      </c>
      <c r="O666" t="s">
        <v>82</v>
      </c>
      <c r="P666" t="s">
        <v>82</v>
      </c>
      <c r="Q666" t="s">
        <v>82</v>
      </c>
      <c r="R666" t="s">
        <v>82</v>
      </c>
      <c r="S666" t="s">
        <v>82</v>
      </c>
      <c r="T666" t="s">
        <v>82</v>
      </c>
      <c r="U666" t="s">
        <v>82</v>
      </c>
      <c r="V666" t="s">
        <v>82</v>
      </c>
      <c r="W666" t="s">
        <v>82</v>
      </c>
      <c r="X666" t="s">
        <v>82</v>
      </c>
      <c r="Y666" t="s">
        <v>82</v>
      </c>
      <c r="Z666" t="s">
        <v>82</v>
      </c>
      <c r="AA666">
        <v>1.161</v>
      </c>
      <c r="AB666">
        <v>-5.8920000000000003</v>
      </c>
      <c r="AC666">
        <v>-4.4989999999999997</v>
      </c>
      <c r="AD666">
        <v>-5.3140000000000001</v>
      </c>
      <c r="AE666">
        <v>-2.508</v>
      </c>
      <c r="AF666">
        <v>-2.3719999999999999</v>
      </c>
      <c r="AG666">
        <v>16.913</v>
      </c>
      <c r="AH666">
        <v>-1.0369999999999999</v>
      </c>
      <c r="AI666">
        <v>-0.66800000000000004</v>
      </c>
      <c r="AJ666">
        <v>-2.0569999999999999</v>
      </c>
      <c r="AK666">
        <v>-2.4319999999999999</v>
      </c>
      <c r="AL666">
        <v>-1.7829999999999999</v>
      </c>
      <c r="AM666">
        <v>-2.8319999999999999</v>
      </c>
      <c r="AN666">
        <v>-6.1509999999999998</v>
      </c>
      <c r="AO666">
        <v>-5.7050000000000001</v>
      </c>
      <c r="AP666">
        <v>-9.3379999999999992</v>
      </c>
      <c r="AQ666">
        <v>-5.7809999999999997</v>
      </c>
      <c r="AR666">
        <v>-7.9710000000000001</v>
      </c>
      <c r="AS666">
        <v>-7.7969999999999997</v>
      </c>
      <c r="AT666">
        <v>-7.18</v>
      </c>
      <c r="AU666">
        <v>-6.5389999999999997</v>
      </c>
      <c r="AV666">
        <v>-5.2850000000000001</v>
      </c>
      <c r="AW666">
        <v>-4.274</v>
      </c>
    </row>
    <row r="667" spans="1:49" x14ac:dyDescent="0.35">
      <c r="A667" t="s">
        <v>13</v>
      </c>
      <c r="B667" t="s">
        <v>113</v>
      </c>
      <c r="C667" t="s">
        <v>114</v>
      </c>
      <c r="D667" t="s">
        <v>31</v>
      </c>
      <c r="E667" t="s">
        <v>32</v>
      </c>
    </row>
    <row r="668" spans="1:49" x14ac:dyDescent="0.35">
      <c r="A668" t="s">
        <v>13</v>
      </c>
      <c r="B668" t="s">
        <v>113</v>
      </c>
      <c r="C668" t="s">
        <v>114</v>
      </c>
      <c r="D668" t="s">
        <v>61</v>
      </c>
    </row>
    <row r="669" spans="1:49" x14ac:dyDescent="0.35">
      <c r="A669" t="s">
        <v>13</v>
      </c>
      <c r="B669" t="s">
        <v>115</v>
      </c>
      <c r="C669" t="s">
        <v>116</v>
      </c>
      <c r="D669" t="s">
        <v>31</v>
      </c>
      <c r="E669" t="s">
        <v>32</v>
      </c>
      <c r="F669" t="s">
        <v>223</v>
      </c>
      <c r="G669" t="s">
        <v>82</v>
      </c>
      <c r="H669" t="s">
        <v>82</v>
      </c>
      <c r="I669" t="s">
        <v>82</v>
      </c>
      <c r="J669" t="s">
        <v>82</v>
      </c>
      <c r="K669" t="s">
        <v>82</v>
      </c>
      <c r="L669" t="s">
        <v>82</v>
      </c>
      <c r="M669" t="s">
        <v>82</v>
      </c>
      <c r="N669" t="s">
        <v>82</v>
      </c>
      <c r="O669" t="s">
        <v>82</v>
      </c>
      <c r="P669" t="s">
        <v>82</v>
      </c>
      <c r="Q669" t="s">
        <v>82</v>
      </c>
      <c r="R669" t="s">
        <v>82</v>
      </c>
      <c r="S669" t="s">
        <v>82</v>
      </c>
      <c r="T669" t="s">
        <v>82</v>
      </c>
      <c r="U669" t="s">
        <v>82</v>
      </c>
      <c r="V669" t="s">
        <v>82</v>
      </c>
      <c r="W669" t="s">
        <v>82</v>
      </c>
      <c r="X669" t="s">
        <v>82</v>
      </c>
      <c r="Y669" t="s">
        <v>82</v>
      </c>
      <c r="Z669" t="s">
        <v>82</v>
      </c>
      <c r="AA669">
        <v>0.437</v>
      </c>
      <c r="AB669">
        <v>-0.54</v>
      </c>
      <c r="AC669">
        <v>-0.17</v>
      </c>
      <c r="AD669">
        <v>-0.441</v>
      </c>
      <c r="AE669">
        <v>0.152</v>
      </c>
      <c r="AF669">
        <v>-1.7999999999999999E-2</v>
      </c>
      <c r="AG669">
        <v>8.5229999999999997</v>
      </c>
      <c r="AH669">
        <v>0.192</v>
      </c>
      <c r="AI669">
        <v>0.502</v>
      </c>
      <c r="AJ669">
        <v>-0.55900000000000005</v>
      </c>
      <c r="AK669">
        <v>-0.99399999999999999</v>
      </c>
      <c r="AL669">
        <v>-0.95099999999999996</v>
      </c>
      <c r="AM669">
        <v>-1.98</v>
      </c>
      <c r="AN669">
        <v>-7.0780000000000003</v>
      </c>
      <c r="AO669">
        <v>-5.819</v>
      </c>
      <c r="AP669">
        <v>-11.9</v>
      </c>
      <c r="AQ669">
        <v>-5.0869999999999997</v>
      </c>
      <c r="AR669">
        <v>-10.579000000000001</v>
      </c>
      <c r="AS669">
        <v>-10.553000000000001</v>
      </c>
      <c r="AT669">
        <v>-9.9979999999999993</v>
      </c>
      <c r="AU669">
        <v>-9.3059999999999992</v>
      </c>
      <c r="AV669">
        <v>-6.1479999999999997</v>
      </c>
      <c r="AW669">
        <v>-2.3919999999999999</v>
      </c>
    </row>
    <row r="670" spans="1:49" x14ac:dyDescent="0.35">
      <c r="A670" t="s">
        <v>13</v>
      </c>
      <c r="B670" t="s">
        <v>115</v>
      </c>
      <c r="C670" t="s">
        <v>116</v>
      </c>
      <c r="D670" t="s">
        <v>70</v>
      </c>
      <c r="F670" t="s">
        <v>117</v>
      </c>
      <c r="G670" t="s">
        <v>82</v>
      </c>
      <c r="H670" t="s">
        <v>82</v>
      </c>
      <c r="I670" t="s">
        <v>82</v>
      </c>
      <c r="J670" t="s">
        <v>82</v>
      </c>
      <c r="K670" t="s">
        <v>82</v>
      </c>
      <c r="L670" t="s">
        <v>82</v>
      </c>
      <c r="M670" t="s">
        <v>82</v>
      </c>
      <c r="N670" t="s">
        <v>82</v>
      </c>
      <c r="O670" t="s">
        <v>82</v>
      </c>
      <c r="P670" t="s">
        <v>82</v>
      </c>
      <c r="Q670" t="s">
        <v>82</v>
      </c>
      <c r="R670" t="s">
        <v>82</v>
      </c>
      <c r="S670" t="s">
        <v>82</v>
      </c>
      <c r="T670" t="s">
        <v>82</v>
      </c>
      <c r="U670" t="s">
        <v>82</v>
      </c>
      <c r="V670" t="s">
        <v>82</v>
      </c>
      <c r="W670" t="s">
        <v>82</v>
      </c>
      <c r="X670" t="s">
        <v>82</v>
      </c>
      <c r="Y670" t="s">
        <v>82</v>
      </c>
      <c r="Z670" t="s">
        <v>82</v>
      </c>
      <c r="AA670">
        <v>3.9009999999999998</v>
      </c>
      <c r="AB670">
        <v>-3.6560000000000001</v>
      </c>
      <c r="AC670">
        <v>-0.92200000000000004</v>
      </c>
      <c r="AD670">
        <v>-1.899</v>
      </c>
      <c r="AE670">
        <v>0.51100000000000001</v>
      </c>
      <c r="AF670">
        <v>-4.7E-2</v>
      </c>
      <c r="AG670">
        <v>18.542999999999999</v>
      </c>
      <c r="AH670">
        <v>0.34200000000000003</v>
      </c>
      <c r="AI670">
        <v>0.748</v>
      </c>
      <c r="AJ670">
        <v>-0.72199999999999998</v>
      </c>
      <c r="AK670">
        <v>-1.0229999999999999</v>
      </c>
      <c r="AL670">
        <v>-0.83399999999999996</v>
      </c>
      <c r="AM670">
        <v>-1.5089999999999999</v>
      </c>
      <c r="AN670">
        <v>-4.6769999999999996</v>
      </c>
      <c r="AO670">
        <v>-3.4830000000000001</v>
      </c>
      <c r="AP670">
        <v>-6.4889999999999999</v>
      </c>
      <c r="AQ670">
        <v>-2.3460000000000001</v>
      </c>
      <c r="AR670">
        <v>-4.3490000000000002</v>
      </c>
      <c r="AS670">
        <v>-3.84</v>
      </c>
      <c r="AT670">
        <v>-3.222</v>
      </c>
      <c r="AU670">
        <v>-2.6619999999999999</v>
      </c>
      <c r="AV670">
        <v>-1.5589999999999999</v>
      </c>
      <c r="AW670">
        <v>-0.53800000000000003</v>
      </c>
    </row>
    <row r="671" spans="1:49" x14ac:dyDescent="0.35">
      <c r="A671" t="s">
        <v>13</v>
      </c>
      <c r="B671" t="s">
        <v>118</v>
      </c>
      <c r="C671" t="s">
        <v>119</v>
      </c>
      <c r="D671" t="s">
        <v>31</v>
      </c>
      <c r="E671" t="s">
        <v>32</v>
      </c>
      <c r="F671" t="s">
        <v>223</v>
      </c>
      <c r="G671" t="s">
        <v>82</v>
      </c>
      <c r="H671" t="s">
        <v>82</v>
      </c>
      <c r="I671" t="s">
        <v>82</v>
      </c>
      <c r="J671" t="s">
        <v>82</v>
      </c>
      <c r="K671" t="s">
        <v>82</v>
      </c>
      <c r="L671" t="s">
        <v>82</v>
      </c>
      <c r="M671" t="s">
        <v>82</v>
      </c>
      <c r="N671" t="s">
        <v>82</v>
      </c>
      <c r="O671" t="s">
        <v>82</v>
      </c>
      <c r="P671" t="s">
        <v>82</v>
      </c>
      <c r="Q671" t="s">
        <v>82</v>
      </c>
      <c r="R671" t="s">
        <v>82</v>
      </c>
      <c r="S671" t="s">
        <v>82</v>
      </c>
      <c r="T671" t="s">
        <v>82</v>
      </c>
      <c r="U671" t="s">
        <v>82</v>
      </c>
      <c r="V671" t="s">
        <v>82</v>
      </c>
      <c r="W671" t="s">
        <v>82</v>
      </c>
      <c r="X671" t="s">
        <v>82</v>
      </c>
      <c r="Y671" t="s">
        <v>82</v>
      </c>
      <c r="Z671" t="s">
        <v>82</v>
      </c>
      <c r="AA671">
        <v>3.2360000000000002</v>
      </c>
      <c r="AB671">
        <v>3.2370000000000001</v>
      </c>
      <c r="AC671">
        <v>4.01</v>
      </c>
      <c r="AD671">
        <v>5.55</v>
      </c>
      <c r="AE671">
        <v>5.7270000000000003</v>
      </c>
      <c r="AF671">
        <v>4.8689999999999998</v>
      </c>
      <c r="AG671">
        <v>9.93</v>
      </c>
      <c r="AH671">
        <v>9.9030000000000005</v>
      </c>
      <c r="AI671">
        <v>10.925000000000001</v>
      </c>
      <c r="AJ671">
        <v>12.736000000000001</v>
      </c>
      <c r="AK671">
        <v>15.5</v>
      </c>
      <c r="AL671">
        <v>18.721</v>
      </c>
      <c r="AM671">
        <v>26.334</v>
      </c>
      <c r="AN671">
        <v>38.119999999999997</v>
      </c>
      <c r="AO671">
        <v>52.158000000000001</v>
      </c>
      <c r="AP671">
        <v>101.26300000000001</v>
      </c>
      <c r="AQ671">
        <v>110.93600000000001</v>
      </c>
      <c r="AR671">
        <v>123.61499999999999</v>
      </c>
      <c r="AS671">
        <v>155.15799999999999</v>
      </c>
      <c r="AT671">
        <v>185.49</v>
      </c>
      <c r="AU671">
        <v>218.43799999999999</v>
      </c>
      <c r="AV671">
        <v>249.291</v>
      </c>
      <c r="AW671">
        <v>277.34399999999999</v>
      </c>
    </row>
    <row r="672" spans="1:49" x14ac:dyDescent="0.35">
      <c r="A672" t="s">
        <v>13</v>
      </c>
      <c r="B672" t="s">
        <v>118</v>
      </c>
      <c r="C672" t="s">
        <v>119</v>
      </c>
      <c r="D672" t="s">
        <v>70</v>
      </c>
      <c r="F672" t="s">
        <v>134</v>
      </c>
      <c r="G672" t="s">
        <v>82</v>
      </c>
      <c r="H672" t="s">
        <v>82</v>
      </c>
      <c r="I672" t="s">
        <v>82</v>
      </c>
      <c r="J672" t="s">
        <v>82</v>
      </c>
      <c r="K672" t="s">
        <v>82</v>
      </c>
      <c r="L672" t="s">
        <v>82</v>
      </c>
      <c r="M672" t="s">
        <v>82</v>
      </c>
      <c r="N672" t="s">
        <v>82</v>
      </c>
      <c r="O672" t="s">
        <v>82</v>
      </c>
      <c r="P672" t="s">
        <v>82</v>
      </c>
      <c r="Q672" t="s">
        <v>82</v>
      </c>
      <c r="R672" t="s">
        <v>82</v>
      </c>
      <c r="S672" t="s">
        <v>82</v>
      </c>
      <c r="T672" t="s">
        <v>82</v>
      </c>
      <c r="U672" t="s">
        <v>82</v>
      </c>
      <c r="V672" t="s">
        <v>82</v>
      </c>
      <c r="W672" t="s">
        <v>82</v>
      </c>
      <c r="X672" t="s">
        <v>82</v>
      </c>
      <c r="Y672" t="s">
        <v>82</v>
      </c>
      <c r="Z672" t="s">
        <v>82</v>
      </c>
      <c r="AA672">
        <v>28.888999999999999</v>
      </c>
      <c r="AB672">
        <v>21.893000000000001</v>
      </c>
      <c r="AC672">
        <v>21.736999999999998</v>
      </c>
      <c r="AD672">
        <v>23.920999999999999</v>
      </c>
      <c r="AE672">
        <v>19.262</v>
      </c>
      <c r="AF672">
        <v>13.093</v>
      </c>
      <c r="AG672">
        <v>21.603999999999999</v>
      </c>
      <c r="AH672">
        <v>17.600999999999999</v>
      </c>
      <c r="AI672">
        <v>16.283999999999999</v>
      </c>
      <c r="AJ672">
        <v>16.466000000000001</v>
      </c>
      <c r="AK672">
        <v>15.944000000000001</v>
      </c>
      <c r="AL672">
        <v>16.417000000000002</v>
      </c>
      <c r="AM672">
        <v>20.059999999999999</v>
      </c>
      <c r="AN672">
        <v>25.19</v>
      </c>
      <c r="AO672">
        <v>31.222000000000001</v>
      </c>
      <c r="AP672">
        <v>55.22</v>
      </c>
      <c r="AQ672">
        <v>51.162999999999997</v>
      </c>
      <c r="AR672">
        <v>50.811</v>
      </c>
      <c r="AS672">
        <v>56.453000000000003</v>
      </c>
      <c r="AT672">
        <v>59.777000000000001</v>
      </c>
      <c r="AU672">
        <v>62.491999999999997</v>
      </c>
      <c r="AV672">
        <v>63.222999999999999</v>
      </c>
      <c r="AW672">
        <v>62.414000000000001</v>
      </c>
    </row>
    <row r="673" spans="1:49" x14ac:dyDescent="0.35">
      <c r="A673" t="s">
        <v>13</v>
      </c>
      <c r="B673" t="s">
        <v>120</v>
      </c>
      <c r="C673" t="s">
        <v>121</v>
      </c>
      <c r="D673" t="s">
        <v>31</v>
      </c>
      <c r="E673" t="s">
        <v>32</v>
      </c>
      <c r="F673" t="s">
        <v>223</v>
      </c>
      <c r="G673" t="s">
        <v>82</v>
      </c>
      <c r="H673" t="s">
        <v>82</v>
      </c>
      <c r="I673" t="s">
        <v>82</v>
      </c>
      <c r="J673" t="s">
        <v>82</v>
      </c>
      <c r="K673" t="s">
        <v>82</v>
      </c>
      <c r="L673" t="s">
        <v>82</v>
      </c>
      <c r="M673" t="s">
        <v>82</v>
      </c>
      <c r="N673" t="s">
        <v>82</v>
      </c>
      <c r="O673" t="s">
        <v>82</v>
      </c>
      <c r="P673" t="s">
        <v>82</v>
      </c>
      <c r="Q673" t="s">
        <v>82</v>
      </c>
      <c r="R673" t="s">
        <v>82</v>
      </c>
      <c r="S673" t="s">
        <v>82</v>
      </c>
      <c r="T673" t="s">
        <v>82</v>
      </c>
      <c r="U673" t="s">
        <v>82</v>
      </c>
      <c r="V673" t="s">
        <v>82</v>
      </c>
      <c r="W673" t="s">
        <v>82</v>
      </c>
      <c r="X673" t="s">
        <v>82</v>
      </c>
      <c r="Y673" t="s">
        <v>82</v>
      </c>
      <c r="Z673" t="s">
        <v>82</v>
      </c>
      <c r="AA673">
        <v>29.231000000000002</v>
      </c>
      <c r="AB673">
        <v>31.084</v>
      </c>
      <c r="AC673">
        <v>33.25</v>
      </c>
      <c r="AD673">
        <v>36.997</v>
      </c>
      <c r="AE673">
        <v>38.622999999999998</v>
      </c>
      <c r="AF673">
        <v>28.164000000000001</v>
      </c>
      <c r="AG673">
        <v>11.49</v>
      </c>
      <c r="AH673">
        <v>12.339</v>
      </c>
      <c r="AI673">
        <v>12.879</v>
      </c>
      <c r="AJ673">
        <v>15.874000000000001</v>
      </c>
      <c r="AK673">
        <v>18.366</v>
      </c>
      <c r="AL673">
        <v>23.722000000000001</v>
      </c>
      <c r="AM673">
        <v>33.375999999999998</v>
      </c>
      <c r="AN673">
        <v>40.991999999999997</v>
      </c>
      <c r="AO673">
        <v>59.472999999999999</v>
      </c>
      <c r="AP673">
        <v>112.58199999999999</v>
      </c>
      <c r="AQ673">
        <v>131.11099999999999</v>
      </c>
      <c r="AR673">
        <v>135.23099999999999</v>
      </c>
      <c r="AS673">
        <v>164.774</v>
      </c>
      <c r="AT673">
        <v>193.69499999999999</v>
      </c>
      <c r="AU673">
        <v>221.40199999999999</v>
      </c>
      <c r="AV673">
        <v>251.21</v>
      </c>
      <c r="AW673">
        <v>279.26299999999998</v>
      </c>
    </row>
    <row r="674" spans="1:49" x14ac:dyDescent="0.35">
      <c r="A674" t="s">
        <v>13</v>
      </c>
      <c r="B674" t="s">
        <v>120</v>
      </c>
      <c r="C674" t="s">
        <v>121</v>
      </c>
      <c r="D674" t="s">
        <v>70</v>
      </c>
      <c r="F674" t="s">
        <v>122</v>
      </c>
      <c r="G674" t="s">
        <v>82</v>
      </c>
      <c r="H674" t="s">
        <v>82</v>
      </c>
      <c r="I674" t="s">
        <v>82</v>
      </c>
      <c r="J674" t="s">
        <v>82</v>
      </c>
      <c r="K674" t="s">
        <v>82</v>
      </c>
      <c r="L674" t="s">
        <v>82</v>
      </c>
      <c r="M674" t="s">
        <v>82</v>
      </c>
      <c r="N674" t="s">
        <v>82</v>
      </c>
      <c r="O674" t="s">
        <v>82</v>
      </c>
      <c r="P674" t="s">
        <v>82</v>
      </c>
      <c r="Q674" t="s">
        <v>82</v>
      </c>
      <c r="R674" t="s">
        <v>82</v>
      </c>
      <c r="S674" t="s">
        <v>82</v>
      </c>
      <c r="T674" t="s">
        <v>82</v>
      </c>
      <c r="U674" t="s">
        <v>82</v>
      </c>
      <c r="V674" t="s">
        <v>82</v>
      </c>
      <c r="W674" t="s">
        <v>82</v>
      </c>
      <c r="X674" t="s">
        <v>82</v>
      </c>
      <c r="Y674" t="s">
        <v>82</v>
      </c>
      <c r="Z674" t="s">
        <v>82</v>
      </c>
      <c r="AA674">
        <v>260.964</v>
      </c>
      <c r="AB674">
        <v>210.24299999999999</v>
      </c>
      <c r="AC674">
        <v>180.244</v>
      </c>
      <c r="AD674">
        <v>159.458</v>
      </c>
      <c r="AE674">
        <v>129.91399999999999</v>
      </c>
      <c r="AF674">
        <v>75.73</v>
      </c>
      <c r="AG674">
        <v>24.998999999999999</v>
      </c>
      <c r="AH674">
        <v>21.931999999999999</v>
      </c>
      <c r="AI674">
        <v>19.196000000000002</v>
      </c>
      <c r="AJ674">
        <v>20.521999999999998</v>
      </c>
      <c r="AK674">
        <v>18.891999999999999</v>
      </c>
      <c r="AL674">
        <v>20.803000000000001</v>
      </c>
      <c r="AM674">
        <v>25.423999999999999</v>
      </c>
      <c r="AN674">
        <v>27.088000000000001</v>
      </c>
      <c r="AO674">
        <v>35.601999999999997</v>
      </c>
      <c r="AP674">
        <v>61.392000000000003</v>
      </c>
      <c r="AQ674">
        <v>60.468000000000004</v>
      </c>
      <c r="AR674">
        <v>55.585999999999999</v>
      </c>
      <c r="AS674">
        <v>59.951999999999998</v>
      </c>
      <c r="AT674">
        <v>62.420999999999999</v>
      </c>
      <c r="AU674">
        <v>63.34</v>
      </c>
      <c r="AV674">
        <v>63.71</v>
      </c>
      <c r="AW674">
        <v>62.845999999999997</v>
      </c>
    </row>
    <row r="675" spans="1:49" x14ac:dyDescent="0.35">
      <c r="A675" t="s">
        <v>13</v>
      </c>
      <c r="B675" t="s">
        <v>123</v>
      </c>
      <c r="C675" t="s">
        <v>124</v>
      </c>
      <c r="D675" t="s">
        <v>31</v>
      </c>
      <c r="E675" t="s">
        <v>32</v>
      </c>
      <c r="F675" t="s">
        <v>223</v>
      </c>
      <c r="G675">
        <v>3.0000000000000001E-3</v>
      </c>
      <c r="H675">
        <v>4.0000000000000001E-3</v>
      </c>
      <c r="I675">
        <v>4.0000000000000001E-3</v>
      </c>
      <c r="J675">
        <v>5.0000000000000001E-3</v>
      </c>
      <c r="K675">
        <v>5.0000000000000001E-3</v>
      </c>
      <c r="L675">
        <v>8.0000000000000002E-3</v>
      </c>
      <c r="M675">
        <v>1.4999999999999999E-2</v>
      </c>
      <c r="N675">
        <v>2.1999999999999999E-2</v>
      </c>
      <c r="O675">
        <v>3.4000000000000002E-2</v>
      </c>
      <c r="P675">
        <v>6.0999999999999999E-2</v>
      </c>
      <c r="Q675">
        <v>0.126</v>
      </c>
      <c r="R675">
        <v>0.24299999999999999</v>
      </c>
      <c r="S675">
        <v>0.63300000000000001</v>
      </c>
      <c r="T675">
        <v>1.6479999999999999</v>
      </c>
      <c r="U675">
        <v>2.4910000000000001</v>
      </c>
      <c r="V675">
        <v>3.3420000000000001</v>
      </c>
      <c r="W675">
        <v>4.3929999999999998</v>
      </c>
      <c r="X675">
        <v>5.7169999999999996</v>
      </c>
      <c r="Y675">
        <v>6.7039999999999997</v>
      </c>
      <c r="Z675">
        <v>8.3160000000000007</v>
      </c>
      <c r="AA675">
        <v>11.201000000000001</v>
      </c>
      <c r="AB675">
        <v>14.785</v>
      </c>
      <c r="AC675">
        <v>18.446999999999999</v>
      </c>
      <c r="AD675">
        <v>23.202000000000002</v>
      </c>
      <c r="AE675">
        <v>29.73</v>
      </c>
      <c r="AF675">
        <v>37.189</v>
      </c>
      <c r="AG675">
        <v>45.963999999999999</v>
      </c>
      <c r="AH675">
        <v>56.262999999999998</v>
      </c>
      <c r="AI675">
        <v>67.088999999999999</v>
      </c>
      <c r="AJ675">
        <v>77.347999999999999</v>
      </c>
      <c r="AK675">
        <v>97.215999999999994</v>
      </c>
      <c r="AL675">
        <v>114.033</v>
      </c>
      <c r="AM675">
        <v>131.274</v>
      </c>
      <c r="AN675">
        <v>151.33099999999999</v>
      </c>
      <c r="AO675">
        <v>167.05199999999999</v>
      </c>
      <c r="AP675">
        <v>183.381</v>
      </c>
      <c r="AQ675">
        <v>216.82599999999999</v>
      </c>
      <c r="AR675">
        <v>243.28399999999999</v>
      </c>
      <c r="AS675">
        <v>274.84500000000003</v>
      </c>
      <c r="AT675">
        <v>310.30500000000001</v>
      </c>
      <c r="AU675">
        <v>349.54599999999999</v>
      </c>
      <c r="AV675">
        <v>394.30099999999999</v>
      </c>
      <c r="AW675">
        <v>444.36200000000002</v>
      </c>
    </row>
    <row r="676" spans="1:49" x14ac:dyDescent="0.35">
      <c r="A676" t="s">
        <v>13</v>
      </c>
      <c r="B676" t="s">
        <v>125</v>
      </c>
      <c r="C676" t="s">
        <v>126</v>
      </c>
      <c r="D676" t="s">
        <v>41</v>
      </c>
      <c r="E676" t="s">
        <v>32</v>
      </c>
      <c r="F676" t="s">
        <v>224</v>
      </c>
      <c r="G676">
        <v>-0.58899999999999997</v>
      </c>
      <c r="H676">
        <v>-0.86899999999999999</v>
      </c>
      <c r="I676">
        <v>-0.74099999999999999</v>
      </c>
      <c r="J676">
        <v>-0.32900000000000001</v>
      </c>
      <c r="K676">
        <v>-0.33200000000000002</v>
      </c>
      <c r="L676">
        <v>-0.35</v>
      </c>
      <c r="M676">
        <v>-0.28599999999999998</v>
      </c>
      <c r="N676">
        <v>-0.104</v>
      </c>
      <c r="O676">
        <v>1.4999999999999999E-2</v>
      </c>
      <c r="P676">
        <v>-0.151</v>
      </c>
      <c r="Q676">
        <v>-9.2999999999999999E-2</v>
      </c>
      <c r="R676">
        <v>8.9999999999999993E-3</v>
      </c>
      <c r="S676">
        <v>-0.11799999999999999</v>
      </c>
      <c r="T676">
        <v>-8.7999999999999995E-2</v>
      </c>
      <c r="U676">
        <v>4.7E-2</v>
      </c>
      <c r="V676">
        <v>-0.14499999999999999</v>
      </c>
      <c r="W676">
        <v>-0.122</v>
      </c>
      <c r="X676">
        <v>-0.182</v>
      </c>
      <c r="Y676">
        <v>-0.56999999999999995</v>
      </c>
      <c r="Z676">
        <v>-0.38600000000000001</v>
      </c>
      <c r="AA676">
        <v>-0.438</v>
      </c>
      <c r="AB676">
        <v>-0.67400000000000004</v>
      </c>
      <c r="AC676">
        <v>-0.50900000000000001</v>
      </c>
      <c r="AD676">
        <v>-0.50700000000000001</v>
      </c>
      <c r="AE676">
        <v>-0.188</v>
      </c>
      <c r="AF676">
        <v>-0.23200000000000001</v>
      </c>
      <c r="AG676">
        <v>0.59299999999999997</v>
      </c>
      <c r="AH676">
        <v>-0.17399999999999999</v>
      </c>
      <c r="AI676">
        <v>-0.59699999999999998</v>
      </c>
      <c r="AJ676">
        <v>0.91300000000000003</v>
      </c>
      <c r="AK676">
        <v>1.5249999999999999</v>
      </c>
      <c r="AL676">
        <v>1.093</v>
      </c>
      <c r="AM676">
        <v>1.373</v>
      </c>
      <c r="AN676">
        <v>-0.16500000000000001</v>
      </c>
      <c r="AO676">
        <v>0.57099999999999995</v>
      </c>
      <c r="AP676">
        <v>-0.83099999999999996</v>
      </c>
      <c r="AQ676">
        <v>-0.93400000000000005</v>
      </c>
      <c r="AR676">
        <v>-0.91800000000000004</v>
      </c>
      <c r="AS676">
        <v>-0.77600000000000002</v>
      </c>
      <c r="AT676">
        <v>-0.41599999999999998</v>
      </c>
      <c r="AU676">
        <v>-6.0000000000000001E-3</v>
      </c>
      <c r="AV676">
        <v>-4.8000000000000001E-2</v>
      </c>
      <c r="AW676">
        <v>-0.13400000000000001</v>
      </c>
    </row>
    <row r="677" spans="1:49" x14ac:dyDescent="0.35">
      <c r="A677" t="s">
        <v>13</v>
      </c>
      <c r="B677" t="s">
        <v>125</v>
      </c>
      <c r="C677" t="s">
        <v>126</v>
      </c>
      <c r="D677" t="s">
        <v>70</v>
      </c>
      <c r="F677" t="s">
        <v>128</v>
      </c>
      <c r="G677">
        <v>-13.867000000000001</v>
      </c>
      <c r="H677">
        <v>-19.809000000000001</v>
      </c>
      <c r="I677">
        <v>-17.504999999999999</v>
      </c>
      <c r="J677">
        <v>-9.0169999999999995</v>
      </c>
      <c r="K677">
        <v>-11.068</v>
      </c>
      <c r="L677">
        <v>-12.289</v>
      </c>
      <c r="M677">
        <v>-14.602</v>
      </c>
      <c r="N677">
        <v>-4.2750000000000004</v>
      </c>
      <c r="O677">
        <v>0.36899999999999999</v>
      </c>
      <c r="P677">
        <v>-3.4590000000000001</v>
      </c>
      <c r="Q677">
        <v>-2.2789999999999999</v>
      </c>
      <c r="R677">
        <v>0.24099999999999999</v>
      </c>
      <c r="S677">
        <v>-3.2759999999999998</v>
      </c>
      <c r="T677">
        <v>-2.4790000000000001</v>
      </c>
      <c r="U677">
        <v>1.29</v>
      </c>
      <c r="V677">
        <v>-3.8250000000000002</v>
      </c>
      <c r="W677">
        <v>-3.3879999999999999</v>
      </c>
      <c r="X677">
        <v>-4.2300000000000004</v>
      </c>
      <c r="Y677">
        <v>-16.120999999999999</v>
      </c>
      <c r="Z677">
        <v>-11.348000000000001</v>
      </c>
      <c r="AA677">
        <v>-12.178000000000001</v>
      </c>
      <c r="AB677">
        <v>-16.471</v>
      </c>
      <c r="AC677">
        <v>-12.144</v>
      </c>
      <c r="AD677">
        <v>-10.333</v>
      </c>
      <c r="AE677">
        <v>-3.016</v>
      </c>
      <c r="AF677">
        <v>-2.786</v>
      </c>
      <c r="AG677">
        <v>4.6449999999999996</v>
      </c>
      <c r="AH677">
        <v>-1.238</v>
      </c>
      <c r="AI677">
        <v>-3.331</v>
      </c>
      <c r="AJ677">
        <v>5.9539999999999997</v>
      </c>
      <c r="AK677">
        <v>7.5270000000000001</v>
      </c>
      <c r="AL677">
        <v>4.6580000000000004</v>
      </c>
      <c r="AM677">
        <v>5.3819999999999997</v>
      </c>
      <c r="AN677">
        <v>-0.58899999999999997</v>
      </c>
      <c r="AO677">
        <v>2.1030000000000002</v>
      </c>
      <c r="AP677">
        <v>-3.911</v>
      </c>
      <c r="AQ677">
        <v>-4.4459999999999997</v>
      </c>
      <c r="AR677">
        <v>-3.5880000000000001</v>
      </c>
      <c r="AS677">
        <v>-2.8380000000000001</v>
      </c>
      <c r="AT677">
        <v>-1.4750000000000001</v>
      </c>
      <c r="AU677">
        <v>-1.9E-2</v>
      </c>
      <c r="AV677">
        <v>-0.153</v>
      </c>
      <c r="AW677">
        <v>-0.40100000000000002</v>
      </c>
    </row>
    <row r="678" spans="1:49" x14ac:dyDescent="0.35">
      <c r="A678" t="s">
        <v>225</v>
      </c>
      <c r="B678" t="s">
        <v>29</v>
      </c>
      <c r="C678" t="s">
        <v>30</v>
      </c>
      <c r="D678" t="s">
        <v>31</v>
      </c>
      <c r="E678" t="s">
        <v>32</v>
      </c>
      <c r="F678" t="s">
        <v>226</v>
      </c>
      <c r="G678" t="s">
        <v>82</v>
      </c>
      <c r="H678" t="s">
        <v>82</v>
      </c>
      <c r="I678" t="s">
        <v>82</v>
      </c>
      <c r="J678" t="s">
        <v>82</v>
      </c>
      <c r="K678" t="s">
        <v>82</v>
      </c>
      <c r="L678" t="s">
        <v>82</v>
      </c>
      <c r="M678" t="s">
        <v>82</v>
      </c>
      <c r="N678" t="s">
        <v>82</v>
      </c>
      <c r="O678" t="s">
        <v>82</v>
      </c>
      <c r="P678" t="s">
        <v>82</v>
      </c>
      <c r="Q678" t="s">
        <v>82</v>
      </c>
      <c r="R678" t="s">
        <v>82</v>
      </c>
      <c r="S678" t="s">
        <v>82</v>
      </c>
      <c r="T678" t="s">
        <v>82</v>
      </c>
      <c r="U678" t="s">
        <v>82</v>
      </c>
      <c r="V678" t="s">
        <v>82</v>
      </c>
      <c r="W678" t="s">
        <v>82</v>
      </c>
      <c r="X678" t="s">
        <v>82</v>
      </c>
      <c r="Y678">
        <v>15.798</v>
      </c>
      <c r="Z678">
        <v>15.622</v>
      </c>
      <c r="AA678">
        <v>14.961</v>
      </c>
      <c r="AB678">
        <v>14.893000000000001</v>
      </c>
      <c r="AC678">
        <v>13.746</v>
      </c>
      <c r="AD678">
        <v>11.516</v>
      </c>
      <c r="AE678">
        <v>10.794</v>
      </c>
      <c r="AF678">
        <v>9.9930000000000003</v>
      </c>
      <c r="AG678">
        <v>9.6379999999999999</v>
      </c>
      <c r="AH678">
        <v>9.31</v>
      </c>
      <c r="AI678">
        <v>7.7910000000000004</v>
      </c>
      <c r="AJ678">
        <v>8.3670000000000009</v>
      </c>
      <c r="AK678">
        <v>9.6590000000000007</v>
      </c>
      <c r="AL678">
        <v>11.237</v>
      </c>
      <c r="AM678">
        <v>12.766</v>
      </c>
      <c r="AN678">
        <v>13.439</v>
      </c>
      <c r="AO678">
        <v>13.81</v>
      </c>
      <c r="AP678">
        <v>14.007</v>
      </c>
      <c r="AQ678">
        <v>14.098000000000001</v>
      </c>
      <c r="AR678">
        <v>14.494999999999999</v>
      </c>
      <c r="AS678">
        <v>14.618</v>
      </c>
      <c r="AT678">
        <v>14.662000000000001</v>
      </c>
      <c r="AU678">
        <v>14.622999999999999</v>
      </c>
      <c r="AV678">
        <v>14.516999999999999</v>
      </c>
      <c r="AW678">
        <v>14.379</v>
      </c>
    </row>
    <row r="679" spans="1:49" x14ac:dyDescent="0.35">
      <c r="A679" t="s">
        <v>225</v>
      </c>
      <c r="B679" t="s">
        <v>29</v>
      </c>
      <c r="C679" t="s">
        <v>34</v>
      </c>
      <c r="D679" t="s">
        <v>35</v>
      </c>
      <c r="F679" t="s">
        <v>36</v>
      </c>
      <c r="G679" t="s">
        <v>82</v>
      </c>
      <c r="H679" t="s">
        <v>82</v>
      </c>
      <c r="I679" t="s">
        <v>82</v>
      </c>
      <c r="J679" t="s">
        <v>82</v>
      </c>
      <c r="K679" t="s">
        <v>82</v>
      </c>
      <c r="L679" t="s">
        <v>82</v>
      </c>
      <c r="M679" t="s">
        <v>82</v>
      </c>
      <c r="N679" t="s">
        <v>82</v>
      </c>
      <c r="O679" t="s">
        <v>82</v>
      </c>
      <c r="P679" t="s">
        <v>82</v>
      </c>
      <c r="Q679" t="s">
        <v>82</v>
      </c>
      <c r="R679" t="s">
        <v>82</v>
      </c>
      <c r="S679" t="s">
        <v>82</v>
      </c>
      <c r="T679" t="s">
        <v>82</v>
      </c>
      <c r="U679" t="s">
        <v>82</v>
      </c>
      <c r="V679" t="s">
        <v>82</v>
      </c>
      <c r="W679" t="s">
        <v>82</v>
      </c>
      <c r="X679" t="s">
        <v>82</v>
      </c>
      <c r="Y679" t="s">
        <v>82</v>
      </c>
      <c r="Z679">
        <v>-1.111</v>
      </c>
      <c r="AA679">
        <v>-4.2309999999999999</v>
      </c>
      <c r="AB679">
        <v>-0.45400000000000001</v>
      </c>
      <c r="AC679">
        <v>-7.7039999999999997</v>
      </c>
      <c r="AD679">
        <v>-16.224</v>
      </c>
      <c r="AE679">
        <v>-6.27</v>
      </c>
      <c r="AF679">
        <v>-7.4130000000000003</v>
      </c>
      <c r="AG679">
        <v>-3.556</v>
      </c>
      <c r="AH679">
        <v>-3.4009999999999998</v>
      </c>
      <c r="AI679">
        <v>-16.323</v>
      </c>
      <c r="AJ679">
        <v>7.3959999999999999</v>
      </c>
      <c r="AK679">
        <v>15.446999999999999</v>
      </c>
      <c r="AL679">
        <v>16.332000000000001</v>
      </c>
      <c r="AM679">
        <v>13.609</v>
      </c>
      <c r="AN679">
        <v>5.27</v>
      </c>
      <c r="AO679">
        <v>2.7650000000000001</v>
      </c>
      <c r="AP679">
        <v>1.4239999999999999</v>
      </c>
      <c r="AQ679">
        <v>0.65100000000000002</v>
      </c>
      <c r="AR679">
        <v>2.8140000000000001</v>
      </c>
      <c r="AS679">
        <v>0.84699999999999998</v>
      </c>
      <c r="AT679">
        <v>0.30099999999999999</v>
      </c>
      <c r="AU679">
        <v>-0.26700000000000002</v>
      </c>
      <c r="AV679">
        <v>-0.72299999999999998</v>
      </c>
      <c r="AW679">
        <v>-0.95</v>
      </c>
    </row>
    <row r="680" spans="1:49" x14ac:dyDescent="0.35">
      <c r="A680" t="s">
        <v>225</v>
      </c>
      <c r="B680" t="s">
        <v>37</v>
      </c>
      <c r="C680" t="s">
        <v>38</v>
      </c>
      <c r="D680" t="s">
        <v>31</v>
      </c>
      <c r="E680" t="s">
        <v>32</v>
      </c>
      <c r="F680" t="s">
        <v>226</v>
      </c>
      <c r="G680" t="s">
        <v>82</v>
      </c>
      <c r="H680" t="s">
        <v>82</v>
      </c>
      <c r="I680" t="s">
        <v>82</v>
      </c>
      <c r="J680" t="s">
        <v>82</v>
      </c>
      <c r="K680" t="s">
        <v>82</v>
      </c>
      <c r="L680" t="s">
        <v>82</v>
      </c>
      <c r="M680" t="s">
        <v>82</v>
      </c>
      <c r="N680" t="s">
        <v>82</v>
      </c>
      <c r="O680" t="s">
        <v>82</v>
      </c>
      <c r="P680" t="s">
        <v>82</v>
      </c>
      <c r="Q680">
        <v>8.7799999999999994</v>
      </c>
      <c r="R680">
        <v>8.18</v>
      </c>
      <c r="S680">
        <v>6.7460000000000004</v>
      </c>
      <c r="T680">
        <v>6.5519999999999996</v>
      </c>
      <c r="U680">
        <v>6.8890000000000002</v>
      </c>
      <c r="V680">
        <v>7.1520000000000001</v>
      </c>
      <c r="W680">
        <v>8.7579999999999991</v>
      </c>
      <c r="X680">
        <v>8.99</v>
      </c>
      <c r="Y680">
        <v>10.827</v>
      </c>
      <c r="Z680">
        <v>10.513999999999999</v>
      </c>
      <c r="AA680">
        <v>10.137</v>
      </c>
      <c r="AB680">
        <v>9.9990000000000006</v>
      </c>
      <c r="AC680">
        <v>9.5630000000000006</v>
      </c>
      <c r="AD680">
        <v>8.4749999999999996</v>
      </c>
      <c r="AE680">
        <v>8.4339999999999993</v>
      </c>
      <c r="AF680">
        <v>8.0749999999999993</v>
      </c>
      <c r="AG680">
        <v>7.298</v>
      </c>
      <c r="AH680">
        <v>6.9939999999999998</v>
      </c>
      <c r="AI680">
        <v>5.9740000000000002</v>
      </c>
      <c r="AJ680">
        <v>8.3670000000000009</v>
      </c>
      <c r="AK680">
        <v>10.067</v>
      </c>
      <c r="AL680">
        <v>12.071999999999999</v>
      </c>
      <c r="AM680">
        <v>14.058</v>
      </c>
      <c r="AN680">
        <v>15.224</v>
      </c>
      <c r="AO680">
        <v>15.834</v>
      </c>
      <c r="AP680">
        <v>16.071999999999999</v>
      </c>
      <c r="AQ680">
        <v>16.123999999999999</v>
      </c>
      <c r="AR680">
        <v>17.105</v>
      </c>
      <c r="AS680">
        <v>18.904</v>
      </c>
      <c r="AT680">
        <v>20.600999999999999</v>
      </c>
      <c r="AU680">
        <v>21.434000000000001</v>
      </c>
      <c r="AV680">
        <v>22.218</v>
      </c>
      <c r="AW680">
        <v>22.876999999999999</v>
      </c>
    </row>
    <row r="681" spans="1:49" x14ac:dyDescent="0.35">
      <c r="A681" t="s">
        <v>225</v>
      </c>
      <c r="B681" t="s">
        <v>37</v>
      </c>
      <c r="C681" t="s">
        <v>40</v>
      </c>
      <c r="D681" t="s">
        <v>41</v>
      </c>
      <c r="E681" t="s">
        <v>32</v>
      </c>
      <c r="F681" t="s">
        <v>42</v>
      </c>
      <c r="G681" t="s">
        <v>82</v>
      </c>
      <c r="H681" t="s">
        <v>82</v>
      </c>
      <c r="I681" t="s">
        <v>82</v>
      </c>
      <c r="J681" t="s">
        <v>82</v>
      </c>
      <c r="K681" t="s">
        <v>82</v>
      </c>
      <c r="L681" t="s">
        <v>82</v>
      </c>
      <c r="M681" t="s">
        <v>82</v>
      </c>
      <c r="N681" t="s">
        <v>82</v>
      </c>
      <c r="O681" t="s">
        <v>82</v>
      </c>
      <c r="P681" t="s">
        <v>82</v>
      </c>
      <c r="Q681">
        <v>8.7799999999999994</v>
      </c>
      <c r="R681">
        <v>8.18</v>
      </c>
      <c r="S681">
        <v>6.7460000000000004</v>
      </c>
      <c r="T681">
        <v>6.5519999999999996</v>
      </c>
      <c r="U681">
        <v>6.8890000000000002</v>
      </c>
      <c r="V681">
        <v>7.1520000000000001</v>
      </c>
      <c r="W681">
        <v>8.7579999999999991</v>
      </c>
      <c r="X681">
        <v>8.99</v>
      </c>
      <c r="Y681">
        <v>10.827</v>
      </c>
      <c r="Z681">
        <v>10.513999999999999</v>
      </c>
      <c r="AA681">
        <v>10.137</v>
      </c>
      <c r="AB681">
        <v>9.9990000000000006</v>
      </c>
      <c r="AC681">
        <v>9.5630000000000006</v>
      </c>
      <c r="AD681">
        <v>8.4749999999999996</v>
      </c>
      <c r="AE681">
        <v>8.4339999999999993</v>
      </c>
      <c r="AF681">
        <v>8.0749999999999993</v>
      </c>
      <c r="AG681">
        <v>7.298</v>
      </c>
      <c r="AH681">
        <v>6.9939999999999998</v>
      </c>
      <c r="AI681">
        <v>5.9740000000000002</v>
      </c>
      <c r="AJ681">
        <v>8.3670000000000009</v>
      </c>
      <c r="AK681">
        <v>10.067</v>
      </c>
      <c r="AL681">
        <v>12.071999999999999</v>
      </c>
      <c r="AM681">
        <v>14.058</v>
      </c>
      <c r="AN681">
        <v>15.224</v>
      </c>
      <c r="AO681">
        <v>15.834</v>
      </c>
      <c r="AP681">
        <v>16.071999999999999</v>
      </c>
      <c r="AQ681">
        <v>16.123999999999999</v>
      </c>
      <c r="AR681">
        <v>17.105</v>
      </c>
      <c r="AS681">
        <v>18.904</v>
      </c>
      <c r="AT681">
        <v>20.600999999999999</v>
      </c>
      <c r="AU681">
        <v>21.434000000000001</v>
      </c>
      <c r="AV681">
        <v>22.218</v>
      </c>
      <c r="AW681">
        <v>22.876999999999999</v>
      </c>
    </row>
    <row r="682" spans="1:49" x14ac:dyDescent="0.35">
      <c r="A682" t="s">
        <v>225</v>
      </c>
      <c r="B682" t="s">
        <v>37</v>
      </c>
      <c r="C682" t="s">
        <v>43</v>
      </c>
      <c r="D682" t="s">
        <v>44</v>
      </c>
      <c r="E682" t="s">
        <v>32</v>
      </c>
      <c r="F682" t="s">
        <v>42</v>
      </c>
      <c r="G682" t="s">
        <v>82</v>
      </c>
      <c r="H682" t="s">
        <v>82</v>
      </c>
      <c r="I682" t="s">
        <v>82</v>
      </c>
      <c r="J682" t="s">
        <v>82</v>
      </c>
      <c r="K682" t="s">
        <v>82</v>
      </c>
      <c r="L682" t="s">
        <v>82</v>
      </c>
      <c r="M682" t="s">
        <v>82</v>
      </c>
      <c r="N682" t="s">
        <v>82</v>
      </c>
      <c r="O682" t="s">
        <v>82</v>
      </c>
      <c r="P682" t="s">
        <v>82</v>
      </c>
      <c r="Q682" t="s">
        <v>82</v>
      </c>
      <c r="R682" t="s">
        <v>82</v>
      </c>
      <c r="S682" t="s">
        <v>82</v>
      </c>
      <c r="T682" t="s">
        <v>82</v>
      </c>
      <c r="U682" t="s">
        <v>82</v>
      </c>
      <c r="V682" t="s">
        <v>82</v>
      </c>
      <c r="W682" t="s">
        <v>82</v>
      </c>
      <c r="X682" t="s">
        <v>82</v>
      </c>
      <c r="Y682">
        <v>25.681000000000001</v>
      </c>
      <c r="Z682">
        <v>25.785</v>
      </c>
      <c r="AA682">
        <v>25.256</v>
      </c>
      <c r="AB682">
        <v>25.713999999999999</v>
      </c>
      <c r="AC682">
        <v>24.097000000000001</v>
      </c>
      <c r="AD682">
        <v>20.59</v>
      </c>
      <c r="AE682">
        <v>19.829999999999998</v>
      </c>
      <c r="AF682">
        <v>18.951000000000001</v>
      </c>
      <c r="AG682">
        <v>18.838000000000001</v>
      </c>
      <c r="AH682">
        <v>18.681999999999999</v>
      </c>
      <c r="AI682">
        <v>15.939</v>
      </c>
      <c r="AJ682">
        <v>17.248000000000001</v>
      </c>
      <c r="AK682">
        <v>20.155000000000001</v>
      </c>
      <c r="AL682">
        <v>23.931000000000001</v>
      </c>
      <c r="AM682">
        <v>27.689</v>
      </c>
      <c r="AN682">
        <v>29.619</v>
      </c>
      <c r="AO682">
        <v>30.984000000000002</v>
      </c>
      <c r="AP682">
        <v>31.765999999999998</v>
      </c>
      <c r="AQ682">
        <v>32.381</v>
      </c>
      <c r="AR682">
        <v>33.872</v>
      </c>
      <c r="AS682">
        <v>34.822000000000003</v>
      </c>
      <c r="AT682">
        <v>35.671999999999997</v>
      </c>
      <c r="AU682">
        <v>36.325000000000003</v>
      </c>
      <c r="AV682">
        <v>36.811999999999998</v>
      </c>
      <c r="AW682">
        <v>37.164000000000001</v>
      </c>
    </row>
    <row r="683" spans="1:49" x14ac:dyDescent="0.35">
      <c r="A683" t="s">
        <v>225</v>
      </c>
      <c r="B683" t="s">
        <v>45</v>
      </c>
      <c r="C683" t="s">
        <v>46</v>
      </c>
      <c r="D683" t="s">
        <v>47</v>
      </c>
      <c r="F683" t="s">
        <v>48</v>
      </c>
      <c r="G683" t="s">
        <v>82</v>
      </c>
      <c r="H683" t="s">
        <v>82</v>
      </c>
      <c r="I683" t="s">
        <v>82</v>
      </c>
      <c r="J683" t="s">
        <v>82</v>
      </c>
      <c r="K683" t="s">
        <v>82</v>
      </c>
      <c r="L683" t="s">
        <v>82</v>
      </c>
      <c r="M683" t="s">
        <v>82</v>
      </c>
      <c r="N683" t="s">
        <v>82</v>
      </c>
      <c r="O683" t="s">
        <v>82</v>
      </c>
      <c r="P683" t="s">
        <v>82</v>
      </c>
      <c r="Q683" t="s">
        <v>82</v>
      </c>
      <c r="R683" t="s">
        <v>82</v>
      </c>
      <c r="S683" t="s">
        <v>82</v>
      </c>
      <c r="T683" t="s">
        <v>82</v>
      </c>
      <c r="U683" t="s">
        <v>82</v>
      </c>
      <c r="V683" t="s">
        <v>82</v>
      </c>
      <c r="W683" t="s">
        <v>82</v>
      </c>
      <c r="X683" t="s">
        <v>82</v>
      </c>
      <c r="Y683">
        <v>68.537000000000006</v>
      </c>
      <c r="Z683">
        <v>67.301000000000002</v>
      </c>
      <c r="AA683">
        <v>67.753</v>
      </c>
      <c r="AB683">
        <v>67.138000000000005</v>
      </c>
      <c r="AC683">
        <v>69.570999999999998</v>
      </c>
      <c r="AD683">
        <v>73.596999999999994</v>
      </c>
      <c r="AE683">
        <v>78.137</v>
      </c>
      <c r="AF683">
        <v>80.802999999999997</v>
      </c>
      <c r="AG683">
        <v>75.718000000000004</v>
      </c>
      <c r="AH683">
        <v>75.116</v>
      </c>
      <c r="AI683">
        <v>76.686000000000007</v>
      </c>
      <c r="AJ683">
        <v>100</v>
      </c>
      <c r="AK683">
        <v>104.22</v>
      </c>
      <c r="AL683">
        <v>107.429</v>
      </c>
      <c r="AM683">
        <v>110.123</v>
      </c>
      <c r="AN683">
        <v>113.28</v>
      </c>
      <c r="AO683">
        <v>114.65300000000001</v>
      </c>
      <c r="AP683">
        <v>114.744</v>
      </c>
      <c r="AQ683">
        <v>114.367</v>
      </c>
      <c r="AR683">
        <v>118.003</v>
      </c>
      <c r="AS683">
        <v>129.31899999999999</v>
      </c>
      <c r="AT683">
        <v>140.506</v>
      </c>
      <c r="AU683">
        <v>146.584</v>
      </c>
      <c r="AV683">
        <v>153.04900000000001</v>
      </c>
      <c r="AW683">
        <v>159.1</v>
      </c>
    </row>
    <row r="684" spans="1:49" x14ac:dyDescent="0.35">
      <c r="A684" t="s">
        <v>225</v>
      </c>
      <c r="B684" t="s">
        <v>49</v>
      </c>
      <c r="C684" t="s">
        <v>50</v>
      </c>
      <c r="D684" t="s">
        <v>31</v>
      </c>
      <c r="E684" t="s">
        <v>26</v>
      </c>
      <c r="F684" t="s">
        <v>51</v>
      </c>
      <c r="G684" t="s">
        <v>82</v>
      </c>
      <c r="H684" t="s">
        <v>82</v>
      </c>
      <c r="I684" t="s">
        <v>82</v>
      </c>
      <c r="J684" t="s">
        <v>82</v>
      </c>
      <c r="K684" t="s">
        <v>82</v>
      </c>
      <c r="L684" t="s">
        <v>82</v>
      </c>
      <c r="M684" t="s">
        <v>82</v>
      </c>
      <c r="N684" t="s">
        <v>82</v>
      </c>
      <c r="O684" t="s">
        <v>82</v>
      </c>
      <c r="P684" t="s">
        <v>82</v>
      </c>
      <c r="Q684" t="s">
        <v>82</v>
      </c>
      <c r="R684" t="s">
        <v>82</v>
      </c>
      <c r="S684" t="s">
        <v>82</v>
      </c>
      <c r="T684" t="s">
        <v>82</v>
      </c>
      <c r="U684" t="s">
        <v>82</v>
      </c>
      <c r="V684" t="s">
        <v>82</v>
      </c>
      <c r="W684" t="s">
        <v>82</v>
      </c>
      <c r="X684" t="s">
        <v>82</v>
      </c>
      <c r="Y684" s="27">
        <v>1343.83</v>
      </c>
      <c r="Z684" s="27">
        <v>1332.53</v>
      </c>
      <c r="AA684" s="27">
        <v>1279.53</v>
      </c>
      <c r="AB684" s="27">
        <v>1277</v>
      </c>
      <c r="AC684" s="27">
        <v>1181.76</v>
      </c>
      <c r="AD684">
        <v>989.32</v>
      </c>
      <c r="AE684">
        <v>920.17200000000003</v>
      </c>
      <c r="AF684">
        <v>844.75400000000002</v>
      </c>
      <c r="AG684">
        <v>802.50400000000002</v>
      </c>
      <c r="AH684">
        <v>773.28099999999995</v>
      </c>
      <c r="AI684">
        <v>642.78899999999999</v>
      </c>
      <c r="AJ684">
        <v>684.12099999999998</v>
      </c>
      <c r="AK684">
        <v>782.755</v>
      </c>
      <c r="AL684">
        <v>901.87199999999996</v>
      </c>
      <c r="AM684">
        <v>977.39700000000005</v>
      </c>
      <c r="AN684" s="27">
        <v>1000.68</v>
      </c>
      <c r="AO684" s="27">
        <v>1002.37</v>
      </c>
      <c r="AP684">
        <v>990.95600000000002</v>
      </c>
      <c r="AQ684">
        <v>972.21</v>
      </c>
      <c r="AR684">
        <v>974.31299999999999</v>
      </c>
      <c r="AS684">
        <v>957.74199999999996</v>
      </c>
      <c r="AT684">
        <v>936.35199999999998</v>
      </c>
      <c r="AU684">
        <v>910.25800000000004</v>
      </c>
      <c r="AV684">
        <v>880.84900000000005</v>
      </c>
      <c r="AW684">
        <v>850.43899999999996</v>
      </c>
    </row>
    <row r="685" spans="1:49" x14ac:dyDescent="0.35">
      <c r="A685" t="s">
        <v>225</v>
      </c>
      <c r="B685" t="s">
        <v>49</v>
      </c>
      <c r="C685" t="s">
        <v>52</v>
      </c>
      <c r="D685" t="s">
        <v>53</v>
      </c>
      <c r="E685" t="s">
        <v>26</v>
      </c>
      <c r="F685" t="s">
        <v>51</v>
      </c>
      <c r="G685" t="s">
        <v>82</v>
      </c>
      <c r="H685" t="s">
        <v>82</v>
      </c>
      <c r="I685" t="s">
        <v>82</v>
      </c>
      <c r="J685" t="s">
        <v>82</v>
      </c>
      <c r="K685" t="s">
        <v>82</v>
      </c>
      <c r="L685" t="s">
        <v>82</v>
      </c>
      <c r="M685" t="s">
        <v>82</v>
      </c>
      <c r="N685" t="s">
        <v>82</v>
      </c>
      <c r="O685" t="s">
        <v>82</v>
      </c>
      <c r="P685" t="s">
        <v>82</v>
      </c>
      <c r="Q685" t="s">
        <v>82</v>
      </c>
      <c r="R685" t="s">
        <v>82</v>
      </c>
      <c r="S685" t="s">
        <v>82</v>
      </c>
      <c r="T685" t="s">
        <v>82</v>
      </c>
      <c r="U685" t="s">
        <v>82</v>
      </c>
      <c r="V685" t="s">
        <v>82</v>
      </c>
      <c r="W685" t="s">
        <v>82</v>
      </c>
      <c r="X685" t="s">
        <v>82</v>
      </c>
      <c r="Y685" s="27">
        <v>2861.99</v>
      </c>
      <c r="Z685" s="27">
        <v>2837.93</v>
      </c>
      <c r="AA685" s="27">
        <v>2725.07</v>
      </c>
      <c r="AB685" s="27">
        <v>2719.68</v>
      </c>
      <c r="AC685" s="27">
        <v>2516.84</v>
      </c>
      <c r="AD685" s="27">
        <v>2106.9899999999998</v>
      </c>
      <c r="AE685" s="27">
        <v>1959.72</v>
      </c>
      <c r="AF685" s="27">
        <v>1799.1</v>
      </c>
      <c r="AG685" s="27">
        <v>1709.12</v>
      </c>
      <c r="AH685" s="27">
        <v>1646.88</v>
      </c>
      <c r="AI685" s="27">
        <v>1368.97</v>
      </c>
      <c r="AJ685" s="27">
        <v>1456.99</v>
      </c>
      <c r="AK685" s="27">
        <v>1667.06</v>
      </c>
      <c r="AL685" s="27">
        <v>1920.75</v>
      </c>
      <c r="AM685" s="27">
        <v>2081.6</v>
      </c>
      <c r="AN685" s="27">
        <v>2131.1799999999998</v>
      </c>
      <c r="AO685" s="27">
        <v>2134.7800000000002</v>
      </c>
      <c r="AP685" s="27">
        <v>2110.4699999999998</v>
      </c>
      <c r="AQ685" s="27">
        <v>2070.5500000000002</v>
      </c>
      <c r="AR685" s="27">
        <v>2075.02</v>
      </c>
      <c r="AS685" s="27">
        <v>2039.73</v>
      </c>
      <c r="AT685" s="27">
        <v>1994.18</v>
      </c>
      <c r="AU685" s="27">
        <v>1938.61</v>
      </c>
      <c r="AV685" s="27">
        <v>1875.97</v>
      </c>
      <c r="AW685" s="27">
        <v>1811.21</v>
      </c>
    </row>
    <row r="686" spans="1:49" x14ac:dyDescent="0.35">
      <c r="A686" t="s">
        <v>225</v>
      </c>
      <c r="B686" t="s">
        <v>54</v>
      </c>
      <c r="C686" t="s">
        <v>55</v>
      </c>
      <c r="D686" t="s">
        <v>31</v>
      </c>
      <c r="E686" t="s">
        <v>26</v>
      </c>
      <c r="F686" t="s">
        <v>56</v>
      </c>
      <c r="G686" t="s">
        <v>82</v>
      </c>
      <c r="H686" t="s">
        <v>82</v>
      </c>
      <c r="I686" t="s">
        <v>82</v>
      </c>
      <c r="J686" t="s">
        <v>82</v>
      </c>
      <c r="K686" t="s">
        <v>82</v>
      </c>
      <c r="L686" t="s">
        <v>82</v>
      </c>
      <c r="M686" t="s">
        <v>82</v>
      </c>
      <c r="N686" t="s">
        <v>82</v>
      </c>
      <c r="O686" t="s">
        <v>82</v>
      </c>
      <c r="P686" t="s">
        <v>82</v>
      </c>
      <c r="Q686">
        <v>897.21299999999997</v>
      </c>
      <c r="R686">
        <v>810.42</v>
      </c>
      <c r="S686">
        <v>648.024</v>
      </c>
      <c r="T686">
        <v>608.02499999999998</v>
      </c>
      <c r="U686">
        <v>618.05899999999997</v>
      </c>
      <c r="V686">
        <v>620.70699999999999</v>
      </c>
      <c r="W686">
        <v>735.64499999999998</v>
      </c>
      <c r="X686">
        <v>762.77800000000002</v>
      </c>
      <c r="Y686">
        <v>921.01900000000001</v>
      </c>
      <c r="Z686">
        <v>896.80200000000002</v>
      </c>
      <c r="AA686">
        <v>866.91800000000001</v>
      </c>
      <c r="AB686">
        <v>857.35900000000004</v>
      </c>
      <c r="AC686">
        <v>822.16499999999996</v>
      </c>
      <c r="AD686">
        <v>728.10599999999999</v>
      </c>
      <c r="AE686">
        <v>718.995</v>
      </c>
      <c r="AF686">
        <v>682.58799999999997</v>
      </c>
      <c r="AG686">
        <v>607.63599999999997</v>
      </c>
      <c r="AH686">
        <v>580.85599999999999</v>
      </c>
      <c r="AI686">
        <v>492.92599999999999</v>
      </c>
      <c r="AJ686">
        <v>684.12099999999998</v>
      </c>
      <c r="AK686">
        <v>815.79100000000005</v>
      </c>
      <c r="AL686">
        <v>968.87599999999998</v>
      </c>
      <c r="AM686" s="27">
        <v>1076.3399999999999</v>
      </c>
      <c r="AN686" s="27">
        <v>1133.57</v>
      </c>
      <c r="AO686" s="27">
        <v>1149.24</v>
      </c>
      <c r="AP686" s="27">
        <v>1137.07</v>
      </c>
      <c r="AQ686" s="27">
        <v>1111.8800000000001</v>
      </c>
      <c r="AR686" s="27">
        <v>1149.72</v>
      </c>
      <c r="AS686" s="27">
        <v>1238.54</v>
      </c>
      <c r="AT686" s="27">
        <v>1315.63</v>
      </c>
      <c r="AU686" s="27">
        <v>1334.29</v>
      </c>
      <c r="AV686" s="27">
        <v>1348.13</v>
      </c>
      <c r="AW686" s="27">
        <v>1353.05</v>
      </c>
    </row>
    <row r="687" spans="1:49" x14ac:dyDescent="0.35">
      <c r="A687" t="s">
        <v>225</v>
      </c>
      <c r="B687" t="s">
        <v>54</v>
      </c>
      <c r="C687" t="s">
        <v>57</v>
      </c>
      <c r="D687" t="s">
        <v>41</v>
      </c>
      <c r="E687" t="s">
        <v>26</v>
      </c>
      <c r="F687" t="s">
        <v>56</v>
      </c>
      <c r="G687" t="s">
        <v>82</v>
      </c>
      <c r="H687" t="s">
        <v>82</v>
      </c>
      <c r="I687" t="s">
        <v>82</v>
      </c>
      <c r="J687" t="s">
        <v>82</v>
      </c>
      <c r="K687" t="s">
        <v>82</v>
      </c>
      <c r="L687" t="s">
        <v>82</v>
      </c>
      <c r="M687" t="s">
        <v>82</v>
      </c>
      <c r="N687" t="s">
        <v>82</v>
      </c>
      <c r="O687" t="s">
        <v>82</v>
      </c>
      <c r="P687" t="s">
        <v>82</v>
      </c>
      <c r="Q687">
        <v>897.21299999999997</v>
      </c>
      <c r="R687">
        <v>810.42</v>
      </c>
      <c r="S687">
        <v>648.024</v>
      </c>
      <c r="T687">
        <v>608.02499999999998</v>
      </c>
      <c r="U687">
        <v>618.05899999999997</v>
      </c>
      <c r="V687">
        <v>620.70699999999999</v>
      </c>
      <c r="W687">
        <v>735.64499999999998</v>
      </c>
      <c r="X687">
        <v>762.77800000000002</v>
      </c>
      <c r="Y687">
        <v>921.01900000000001</v>
      </c>
      <c r="Z687">
        <v>896.80200000000002</v>
      </c>
      <c r="AA687">
        <v>866.91800000000001</v>
      </c>
      <c r="AB687">
        <v>857.35900000000004</v>
      </c>
      <c r="AC687">
        <v>822.16499999999996</v>
      </c>
      <c r="AD687">
        <v>728.10599999999999</v>
      </c>
      <c r="AE687">
        <v>718.995</v>
      </c>
      <c r="AF687">
        <v>682.58799999999997</v>
      </c>
      <c r="AG687">
        <v>607.63599999999997</v>
      </c>
      <c r="AH687">
        <v>580.85599999999999</v>
      </c>
      <c r="AI687">
        <v>492.92599999999999</v>
      </c>
      <c r="AJ687">
        <v>684.12099999999998</v>
      </c>
      <c r="AK687">
        <v>815.79100000000005</v>
      </c>
      <c r="AL687">
        <v>968.87599999999998</v>
      </c>
      <c r="AM687" s="27">
        <v>1076.3399999999999</v>
      </c>
      <c r="AN687" s="27">
        <v>1133.57</v>
      </c>
      <c r="AO687" s="27">
        <v>1149.24</v>
      </c>
      <c r="AP687" s="27">
        <v>1137.07</v>
      </c>
      <c r="AQ687" s="27">
        <v>1111.8800000000001</v>
      </c>
      <c r="AR687" s="27">
        <v>1149.72</v>
      </c>
      <c r="AS687" s="27">
        <v>1238.54</v>
      </c>
      <c r="AT687" s="27">
        <v>1315.63</v>
      </c>
      <c r="AU687" s="27">
        <v>1334.29</v>
      </c>
      <c r="AV687" s="27">
        <v>1348.13</v>
      </c>
      <c r="AW687" s="27">
        <v>1353.05</v>
      </c>
    </row>
    <row r="688" spans="1:49" x14ac:dyDescent="0.35">
      <c r="A688" t="s">
        <v>225</v>
      </c>
      <c r="B688" t="s">
        <v>54</v>
      </c>
      <c r="C688" t="s">
        <v>58</v>
      </c>
      <c r="D688" t="s">
        <v>44</v>
      </c>
      <c r="E688" t="s">
        <v>26</v>
      </c>
      <c r="F688" t="s">
        <v>56</v>
      </c>
      <c r="G688" t="s">
        <v>82</v>
      </c>
      <c r="H688" t="s">
        <v>82</v>
      </c>
      <c r="I688" t="s">
        <v>82</v>
      </c>
      <c r="J688" t="s">
        <v>82</v>
      </c>
      <c r="K688" t="s">
        <v>82</v>
      </c>
      <c r="L688" t="s">
        <v>82</v>
      </c>
      <c r="M688" t="s">
        <v>82</v>
      </c>
      <c r="N688" t="s">
        <v>82</v>
      </c>
      <c r="O688" t="s">
        <v>82</v>
      </c>
      <c r="P688" t="s">
        <v>82</v>
      </c>
      <c r="Q688" t="s">
        <v>82</v>
      </c>
      <c r="R688" t="s">
        <v>82</v>
      </c>
      <c r="S688" t="s">
        <v>82</v>
      </c>
      <c r="T688" t="s">
        <v>82</v>
      </c>
      <c r="U688" t="s">
        <v>82</v>
      </c>
      <c r="V688" t="s">
        <v>82</v>
      </c>
      <c r="W688" t="s">
        <v>82</v>
      </c>
      <c r="X688" t="s">
        <v>82</v>
      </c>
      <c r="Y688" s="27">
        <v>2184.59</v>
      </c>
      <c r="Z688" s="27">
        <v>2199.38</v>
      </c>
      <c r="AA688" s="27">
        <v>2159.96</v>
      </c>
      <c r="AB688" s="27">
        <v>2204.8200000000002</v>
      </c>
      <c r="AC688" s="27">
        <v>2071.6999999999998</v>
      </c>
      <c r="AD688" s="27">
        <v>1768.92</v>
      </c>
      <c r="AE688" s="27">
        <v>1690.53</v>
      </c>
      <c r="AF688" s="27">
        <v>1601.9</v>
      </c>
      <c r="AG688" s="27">
        <v>1568.54</v>
      </c>
      <c r="AH688" s="27">
        <v>1551.64</v>
      </c>
      <c r="AI688" s="27">
        <v>1315.1</v>
      </c>
      <c r="AJ688" s="27">
        <v>1410.29</v>
      </c>
      <c r="AK688" s="27">
        <v>1633.34</v>
      </c>
      <c r="AL688" s="27">
        <v>1920.75</v>
      </c>
      <c r="AM688" s="27">
        <v>2119.94</v>
      </c>
      <c r="AN688" s="27">
        <v>2205.4899999999998</v>
      </c>
      <c r="AO688" s="27">
        <v>2248.86</v>
      </c>
      <c r="AP688" s="27">
        <v>2247.36</v>
      </c>
      <c r="AQ688" s="27">
        <v>2232.98</v>
      </c>
      <c r="AR688" s="27">
        <v>2276.79</v>
      </c>
      <c r="AS688" s="27">
        <v>2281.5100000000002</v>
      </c>
      <c r="AT688" s="27">
        <v>2278.16</v>
      </c>
      <c r="AU688" s="27">
        <v>2261.25</v>
      </c>
      <c r="AV688" s="27">
        <v>2233.64</v>
      </c>
      <c r="AW688" s="27">
        <v>2198.0300000000002</v>
      </c>
    </row>
    <row r="689" spans="1:49" x14ac:dyDescent="0.35">
      <c r="A689" t="s">
        <v>225</v>
      </c>
      <c r="B689" t="s">
        <v>59</v>
      </c>
      <c r="C689" t="s">
        <v>60</v>
      </c>
      <c r="D689" t="s">
        <v>61</v>
      </c>
    </row>
    <row r="690" spans="1:49" x14ac:dyDescent="0.35">
      <c r="A690" t="s">
        <v>225</v>
      </c>
      <c r="B690" t="s">
        <v>62</v>
      </c>
      <c r="C690" t="s">
        <v>63</v>
      </c>
      <c r="D690" t="s">
        <v>64</v>
      </c>
      <c r="F690" t="s">
        <v>42</v>
      </c>
      <c r="G690" t="s">
        <v>82</v>
      </c>
      <c r="H690" t="s">
        <v>82</v>
      </c>
      <c r="I690" t="s">
        <v>82</v>
      </c>
      <c r="J690" t="s">
        <v>82</v>
      </c>
      <c r="K690" t="s">
        <v>82</v>
      </c>
      <c r="L690" t="s">
        <v>82</v>
      </c>
      <c r="M690" t="s">
        <v>82</v>
      </c>
      <c r="N690" t="s">
        <v>82</v>
      </c>
      <c r="O690" t="s">
        <v>82</v>
      </c>
      <c r="P690" t="s">
        <v>82</v>
      </c>
      <c r="Q690" t="s">
        <v>82</v>
      </c>
      <c r="R690" t="s">
        <v>82</v>
      </c>
      <c r="S690" t="s">
        <v>82</v>
      </c>
      <c r="T690" t="s">
        <v>82</v>
      </c>
      <c r="U690" t="s">
        <v>82</v>
      </c>
      <c r="V690" t="s">
        <v>82</v>
      </c>
      <c r="W690" t="s">
        <v>82</v>
      </c>
      <c r="X690" t="s">
        <v>82</v>
      </c>
      <c r="Y690">
        <v>5.8000000000000003E-2</v>
      </c>
      <c r="Z690">
        <v>5.5E-2</v>
      </c>
      <c r="AA690">
        <v>5.0999999999999997E-2</v>
      </c>
      <c r="AB690">
        <v>4.9000000000000002E-2</v>
      </c>
      <c r="AC690">
        <v>4.3999999999999997E-2</v>
      </c>
      <c r="AD690">
        <v>3.5999999999999997E-2</v>
      </c>
      <c r="AE690">
        <v>3.2000000000000001E-2</v>
      </c>
      <c r="AF690">
        <v>2.8000000000000001E-2</v>
      </c>
      <c r="AG690">
        <v>2.5999999999999999E-2</v>
      </c>
      <c r="AH690">
        <v>2.3E-2</v>
      </c>
      <c r="AI690">
        <v>1.9E-2</v>
      </c>
      <c r="AJ690">
        <v>2.1000000000000001E-2</v>
      </c>
      <c r="AK690">
        <v>2.3E-2</v>
      </c>
      <c r="AL690">
        <v>2.5000000000000001E-2</v>
      </c>
      <c r="AM690">
        <v>2.8000000000000001E-2</v>
      </c>
      <c r="AN690">
        <v>2.8000000000000001E-2</v>
      </c>
      <c r="AO690">
        <v>2.8000000000000001E-2</v>
      </c>
      <c r="AP690">
        <v>2.8000000000000001E-2</v>
      </c>
      <c r="AQ690">
        <v>2.7E-2</v>
      </c>
      <c r="AR690">
        <v>2.7E-2</v>
      </c>
      <c r="AS690">
        <v>2.5999999999999999E-2</v>
      </c>
      <c r="AT690">
        <v>2.5000000000000001E-2</v>
      </c>
      <c r="AU690">
        <v>2.4E-2</v>
      </c>
      <c r="AV690">
        <v>2.3E-2</v>
      </c>
      <c r="AW690">
        <v>2.1999999999999999E-2</v>
      </c>
    </row>
    <row r="691" spans="1:49" x14ac:dyDescent="0.35">
      <c r="A691" t="s">
        <v>225</v>
      </c>
      <c r="B691" t="s">
        <v>65</v>
      </c>
      <c r="C691" t="s">
        <v>66</v>
      </c>
      <c r="D691" t="s">
        <v>67</v>
      </c>
      <c r="F691" t="s">
        <v>42</v>
      </c>
      <c r="G691" t="s">
        <v>82</v>
      </c>
      <c r="H691" t="s">
        <v>82</v>
      </c>
      <c r="I691" t="s">
        <v>82</v>
      </c>
      <c r="J691" t="s">
        <v>82</v>
      </c>
      <c r="K691" t="s">
        <v>82</v>
      </c>
      <c r="L691" t="s">
        <v>82</v>
      </c>
      <c r="M691" t="s">
        <v>82</v>
      </c>
      <c r="N691" t="s">
        <v>82</v>
      </c>
      <c r="O691" t="s">
        <v>82</v>
      </c>
      <c r="P691" t="s">
        <v>82</v>
      </c>
      <c r="Q691" t="s">
        <v>82</v>
      </c>
      <c r="R691" t="s">
        <v>82</v>
      </c>
      <c r="S691" t="s">
        <v>82</v>
      </c>
      <c r="T691" t="s">
        <v>82</v>
      </c>
      <c r="U691" t="s">
        <v>82</v>
      </c>
      <c r="V691" t="s">
        <v>82</v>
      </c>
      <c r="W691" t="s">
        <v>82</v>
      </c>
      <c r="X691" t="s">
        <v>82</v>
      </c>
      <c r="Y691">
        <v>0.42199999999999999</v>
      </c>
      <c r="Z691">
        <v>0.40799999999999997</v>
      </c>
      <c r="AA691">
        <v>0.40100000000000002</v>
      </c>
      <c r="AB691">
        <v>0.38900000000000001</v>
      </c>
      <c r="AC691">
        <v>0.39700000000000002</v>
      </c>
      <c r="AD691">
        <v>0.41199999999999998</v>
      </c>
      <c r="AE691">
        <v>0.42499999999999999</v>
      </c>
      <c r="AF691">
        <v>0.42599999999999999</v>
      </c>
      <c r="AG691">
        <v>0.38700000000000001</v>
      </c>
      <c r="AH691">
        <v>0.374</v>
      </c>
      <c r="AI691">
        <v>0.375</v>
      </c>
      <c r="AJ691">
        <v>0.48499999999999999</v>
      </c>
      <c r="AK691">
        <v>0.499</v>
      </c>
      <c r="AL691">
        <v>0.504</v>
      </c>
      <c r="AM691">
        <v>0.50800000000000001</v>
      </c>
      <c r="AN691">
        <v>0.51400000000000001</v>
      </c>
      <c r="AO691">
        <v>0.51100000000000001</v>
      </c>
      <c r="AP691">
        <v>0.50600000000000001</v>
      </c>
      <c r="AQ691">
        <v>0.498</v>
      </c>
      <c r="AR691">
        <v>0.505</v>
      </c>
      <c r="AS691">
        <v>0.54300000000000004</v>
      </c>
      <c r="AT691">
        <v>0.57699999999999996</v>
      </c>
      <c r="AU691">
        <v>0.59</v>
      </c>
      <c r="AV691">
        <v>0.60399999999999998</v>
      </c>
      <c r="AW691">
        <v>0.61599999999999999</v>
      </c>
    </row>
    <row r="692" spans="1:49" x14ac:dyDescent="0.35">
      <c r="A692" t="s">
        <v>225</v>
      </c>
      <c r="B692" t="s">
        <v>68</v>
      </c>
      <c r="C692" t="s">
        <v>69</v>
      </c>
      <c r="D692" t="s">
        <v>70</v>
      </c>
      <c r="F692" t="s">
        <v>226</v>
      </c>
      <c r="G692" t="s">
        <v>82</v>
      </c>
      <c r="H692" t="s">
        <v>82</v>
      </c>
      <c r="I692" t="s">
        <v>82</v>
      </c>
      <c r="J692" t="s">
        <v>82</v>
      </c>
      <c r="K692" t="s">
        <v>82</v>
      </c>
      <c r="L692" t="s">
        <v>82</v>
      </c>
      <c r="M692" t="s">
        <v>82</v>
      </c>
      <c r="N692" t="s">
        <v>82</v>
      </c>
      <c r="O692" t="s">
        <v>82</v>
      </c>
      <c r="P692" t="s">
        <v>82</v>
      </c>
      <c r="Q692" t="s">
        <v>82</v>
      </c>
      <c r="R692" t="s">
        <v>82</v>
      </c>
      <c r="S692" t="s">
        <v>82</v>
      </c>
      <c r="T692" t="s">
        <v>82</v>
      </c>
      <c r="U692" t="s">
        <v>82</v>
      </c>
      <c r="V692" t="s">
        <v>82</v>
      </c>
      <c r="W692" t="s">
        <v>82</v>
      </c>
      <c r="X692" t="s">
        <v>82</v>
      </c>
      <c r="Y692" t="s">
        <v>82</v>
      </c>
      <c r="Z692" t="s">
        <v>82</v>
      </c>
      <c r="AA692" t="s">
        <v>82</v>
      </c>
      <c r="AB692" t="s">
        <v>82</v>
      </c>
      <c r="AC692" t="s">
        <v>82</v>
      </c>
      <c r="AD692" t="s">
        <v>82</v>
      </c>
      <c r="AE692" t="s">
        <v>82</v>
      </c>
      <c r="AF692" t="s">
        <v>82</v>
      </c>
      <c r="AG692" t="s">
        <v>82</v>
      </c>
      <c r="AH692" t="s">
        <v>82</v>
      </c>
      <c r="AI692" t="s">
        <v>82</v>
      </c>
      <c r="AJ692">
        <v>14.726000000000001</v>
      </c>
      <c r="AK692">
        <v>22.443999999999999</v>
      </c>
      <c r="AL692">
        <v>20.324000000000002</v>
      </c>
      <c r="AM692">
        <v>12</v>
      </c>
      <c r="AN692">
        <v>11.548999999999999</v>
      </c>
      <c r="AO692">
        <v>11.868</v>
      </c>
      <c r="AP692">
        <v>12.585000000000001</v>
      </c>
      <c r="AQ692">
        <v>15.547000000000001</v>
      </c>
      <c r="AR692">
        <v>14.038</v>
      </c>
      <c r="AS692">
        <v>13.677</v>
      </c>
      <c r="AT692">
        <v>13.404999999999999</v>
      </c>
      <c r="AU692">
        <v>13.358000000000001</v>
      </c>
      <c r="AV692">
        <v>13.329000000000001</v>
      </c>
      <c r="AW692">
        <v>13.33</v>
      </c>
    </row>
    <row r="693" spans="1:49" x14ac:dyDescent="0.35">
      <c r="A693" t="s">
        <v>225</v>
      </c>
      <c r="B693" t="s">
        <v>71</v>
      </c>
      <c r="C693" t="s">
        <v>72</v>
      </c>
      <c r="D693" t="s">
        <v>70</v>
      </c>
      <c r="F693" t="s">
        <v>226</v>
      </c>
      <c r="G693" t="s">
        <v>82</v>
      </c>
      <c r="H693" t="s">
        <v>82</v>
      </c>
      <c r="I693" t="s">
        <v>82</v>
      </c>
      <c r="J693" t="s">
        <v>82</v>
      </c>
      <c r="K693" t="s">
        <v>82</v>
      </c>
      <c r="L693" t="s">
        <v>82</v>
      </c>
      <c r="M693" t="s">
        <v>82</v>
      </c>
      <c r="N693" t="s">
        <v>82</v>
      </c>
      <c r="O693" t="s">
        <v>82</v>
      </c>
      <c r="P693" t="s">
        <v>82</v>
      </c>
      <c r="Q693" t="s">
        <v>82</v>
      </c>
      <c r="R693" t="s">
        <v>82</v>
      </c>
      <c r="S693" t="s">
        <v>82</v>
      </c>
      <c r="T693" t="s">
        <v>82</v>
      </c>
      <c r="U693" t="s">
        <v>82</v>
      </c>
      <c r="V693" t="s">
        <v>82</v>
      </c>
      <c r="W693" t="s">
        <v>82</v>
      </c>
      <c r="X693" t="s">
        <v>82</v>
      </c>
      <c r="Y693" t="s">
        <v>82</v>
      </c>
      <c r="Z693" t="s">
        <v>82</v>
      </c>
      <c r="AA693" t="s">
        <v>82</v>
      </c>
      <c r="AB693" t="s">
        <v>82</v>
      </c>
      <c r="AC693" t="s">
        <v>82</v>
      </c>
      <c r="AD693" t="s">
        <v>82</v>
      </c>
      <c r="AE693" t="s">
        <v>82</v>
      </c>
      <c r="AF693" t="s">
        <v>82</v>
      </c>
      <c r="AG693" t="s">
        <v>82</v>
      </c>
      <c r="AH693" t="s">
        <v>82</v>
      </c>
      <c r="AI693" t="s">
        <v>82</v>
      </c>
      <c r="AJ693">
        <v>0.35699999999999998</v>
      </c>
      <c r="AK693">
        <v>19.286000000000001</v>
      </c>
      <c r="AL693">
        <v>17.899000000000001</v>
      </c>
      <c r="AM693">
        <v>3.2530000000000001</v>
      </c>
      <c r="AN693">
        <v>3.26</v>
      </c>
      <c r="AO693">
        <v>3.7589999999999999</v>
      </c>
      <c r="AP693">
        <v>4.9320000000000004</v>
      </c>
      <c r="AQ693">
        <v>15.494</v>
      </c>
      <c r="AR693">
        <v>15.422000000000001</v>
      </c>
      <c r="AS693">
        <v>18.295999999999999</v>
      </c>
      <c r="AT693">
        <v>18.346</v>
      </c>
      <c r="AU693">
        <v>17.369</v>
      </c>
      <c r="AV693">
        <v>16.63</v>
      </c>
      <c r="AW693">
        <v>16.689</v>
      </c>
    </row>
    <row r="694" spans="1:49" x14ac:dyDescent="0.35">
      <c r="A694" t="s">
        <v>225</v>
      </c>
      <c r="B694" t="s">
        <v>73</v>
      </c>
      <c r="C694" t="s">
        <v>74</v>
      </c>
      <c r="D694" t="s">
        <v>47</v>
      </c>
      <c r="F694" t="s">
        <v>227</v>
      </c>
      <c r="G694">
        <v>160.14699999999999</v>
      </c>
      <c r="H694">
        <v>169.04599999999999</v>
      </c>
      <c r="I694">
        <v>170.04300000000001</v>
      </c>
      <c r="J694">
        <v>155.67099999999999</v>
      </c>
      <c r="K694">
        <v>152.78</v>
      </c>
      <c r="L694">
        <v>128.32</v>
      </c>
      <c r="M694">
        <v>142.006</v>
      </c>
      <c r="N694">
        <v>160.161</v>
      </c>
      <c r="O694">
        <v>158.46799999999999</v>
      </c>
      <c r="P694">
        <v>152.37200000000001</v>
      </c>
      <c r="Q694">
        <v>154.42099999999999</v>
      </c>
      <c r="R694">
        <v>134.125</v>
      </c>
      <c r="S694">
        <v>130.10400000000001</v>
      </c>
      <c r="T694">
        <v>130.59399999999999</v>
      </c>
      <c r="U694">
        <v>126.988</v>
      </c>
      <c r="V694">
        <v>146.32400000000001</v>
      </c>
      <c r="W694">
        <v>155.11199999999999</v>
      </c>
      <c r="X694">
        <v>153.614</v>
      </c>
      <c r="Y694">
        <v>110.566</v>
      </c>
      <c r="Z694">
        <v>95.715999999999994</v>
      </c>
      <c r="AA694">
        <v>100</v>
      </c>
      <c r="AB694">
        <v>62.802</v>
      </c>
      <c r="AC694">
        <v>41.17</v>
      </c>
      <c r="AD694">
        <v>37.643999999999998</v>
      </c>
      <c r="AE694">
        <v>80.396000000000001</v>
      </c>
      <c r="AF694">
        <v>55.052999999999997</v>
      </c>
      <c r="AG694">
        <v>73.206999999999994</v>
      </c>
      <c r="AH694">
        <v>19.963999999999999</v>
      </c>
      <c r="AI694">
        <v>51.3</v>
      </c>
      <c r="AJ694">
        <v>54.488999999999997</v>
      </c>
      <c r="AK694">
        <v>56.148000000000003</v>
      </c>
      <c r="AL694">
        <v>58.097000000000001</v>
      </c>
      <c r="AM694">
        <v>60.258000000000003</v>
      </c>
      <c r="AN694">
        <v>61.241</v>
      </c>
      <c r="AO694">
        <v>61.110999999999997</v>
      </c>
      <c r="AP694">
        <v>59.637999999999998</v>
      </c>
      <c r="AQ694">
        <v>58.704000000000001</v>
      </c>
      <c r="AR694">
        <v>60.146000000000001</v>
      </c>
      <c r="AS694">
        <v>65.841999999999999</v>
      </c>
      <c r="AT694">
        <v>71.338999999999999</v>
      </c>
      <c r="AU694">
        <v>74.192999999999998</v>
      </c>
      <c r="AV694">
        <v>77.161000000000001</v>
      </c>
      <c r="AW694">
        <v>80.247</v>
      </c>
    </row>
    <row r="695" spans="1:49" x14ac:dyDescent="0.35">
      <c r="A695" t="s">
        <v>225</v>
      </c>
      <c r="B695" t="s">
        <v>73</v>
      </c>
      <c r="C695" t="s">
        <v>76</v>
      </c>
      <c r="D695" t="s">
        <v>35</v>
      </c>
      <c r="F695" t="s">
        <v>77</v>
      </c>
      <c r="G695" t="s">
        <v>82</v>
      </c>
      <c r="H695">
        <v>5.556</v>
      </c>
      <c r="I695">
        <v>0.59</v>
      </c>
      <c r="J695">
        <v>-8.452</v>
      </c>
      <c r="K695">
        <v>-1.857</v>
      </c>
      <c r="L695">
        <v>-16.010000000000002</v>
      </c>
      <c r="M695">
        <v>10.666</v>
      </c>
      <c r="N695">
        <v>12.785</v>
      </c>
      <c r="O695">
        <v>-1.0569999999999999</v>
      </c>
      <c r="P695">
        <v>-3.847</v>
      </c>
      <c r="Q695">
        <v>1.345</v>
      </c>
      <c r="R695">
        <v>-13.143000000000001</v>
      </c>
      <c r="S695">
        <v>-2.9980000000000002</v>
      </c>
      <c r="T695">
        <v>0.376</v>
      </c>
      <c r="U695">
        <v>-2.7610000000000001</v>
      </c>
      <c r="V695">
        <v>15.227</v>
      </c>
      <c r="W695">
        <v>6.0060000000000002</v>
      </c>
      <c r="X695">
        <v>-0.96499999999999997</v>
      </c>
      <c r="Y695">
        <v>-28.023</v>
      </c>
      <c r="Z695">
        <v>-13.430999999999999</v>
      </c>
      <c r="AA695">
        <v>4.4749999999999996</v>
      </c>
      <c r="AB695">
        <v>-37.198</v>
      </c>
      <c r="AC695">
        <v>-34.445</v>
      </c>
      <c r="AD695">
        <v>-8.5649999999999995</v>
      </c>
      <c r="AE695">
        <v>113.569</v>
      </c>
      <c r="AF695">
        <v>-31.521999999999998</v>
      </c>
      <c r="AG695">
        <v>32.973999999999997</v>
      </c>
      <c r="AH695">
        <v>-72.728999999999999</v>
      </c>
      <c r="AI695">
        <v>156.964</v>
      </c>
      <c r="AJ695">
        <v>6.2160000000000002</v>
      </c>
      <c r="AK695">
        <v>3.0449999999999999</v>
      </c>
      <c r="AL695">
        <v>3.47</v>
      </c>
      <c r="AM695">
        <v>3.72</v>
      </c>
      <c r="AN695">
        <v>1.6319999999999999</v>
      </c>
      <c r="AO695">
        <v>-0.21299999999999999</v>
      </c>
      <c r="AP695">
        <v>-2.41</v>
      </c>
      <c r="AQ695">
        <v>-1.5660000000000001</v>
      </c>
      <c r="AR695">
        <v>2.4550000000000001</v>
      </c>
      <c r="AS695">
        <v>9.4710000000000001</v>
      </c>
      <c r="AT695">
        <v>8.3490000000000002</v>
      </c>
      <c r="AU695">
        <v>4</v>
      </c>
      <c r="AV695">
        <v>4</v>
      </c>
      <c r="AW695">
        <v>4</v>
      </c>
    </row>
    <row r="696" spans="1:49" x14ac:dyDescent="0.35">
      <c r="A696" t="s">
        <v>225</v>
      </c>
      <c r="B696" t="s">
        <v>78</v>
      </c>
      <c r="C696" t="s">
        <v>79</v>
      </c>
      <c r="D696" t="s">
        <v>47</v>
      </c>
      <c r="F696" t="s">
        <v>227</v>
      </c>
      <c r="G696" t="s">
        <v>82</v>
      </c>
      <c r="H696" t="s">
        <v>82</v>
      </c>
      <c r="I696" t="s">
        <v>82</v>
      </c>
      <c r="J696" t="s">
        <v>82</v>
      </c>
      <c r="K696" t="s">
        <v>82</v>
      </c>
      <c r="L696" t="s">
        <v>82</v>
      </c>
      <c r="M696" t="s">
        <v>82</v>
      </c>
      <c r="N696" t="s">
        <v>82</v>
      </c>
      <c r="O696" t="s">
        <v>82</v>
      </c>
      <c r="P696" t="s">
        <v>82</v>
      </c>
      <c r="Q696" t="s">
        <v>82</v>
      </c>
      <c r="R696" t="s">
        <v>82</v>
      </c>
      <c r="S696" t="s">
        <v>82</v>
      </c>
      <c r="T696" t="s">
        <v>82</v>
      </c>
      <c r="U696" t="s">
        <v>82</v>
      </c>
      <c r="V696" t="s">
        <v>82</v>
      </c>
      <c r="W696" t="s">
        <v>82</v>
      </c>
      <c r="X696" t="s">
        <v>82</v>
      </c>
      <c r="Y696" t="s">
        <v>82</v>
      </c>
      <c r="Z696" t="s">
        <v>82</v>
      </c>
      <c r="AA696" t="s">
        <v>82</v>
      </c>
      <c r="AB696" t="s">
        <v>82</v>
      </c>
      <c r="AC696" t="s">
        <v>82</v>
      </c>
      <c r="AD696" t="s">
        <v>82</v>
      </c>
      <c r="AE696" t="s">
        <v>82</v>
      </c>
      <c r="AF696" t="s">
        <v>82</v>
      </c>
      <c r="AG696" t="s">
        <v>82</v>
      </c>
      <c r="AH696" t="s">
        <v>82</v>
      </c>
      <c r="AI696">
        <v>59.152999999999999</v>
      </c>
      <c r="AJ696">
        <v>54.616</v>
      </c>
      <c r="AK696">
        <v>56.372999999999998</v>
      </c>
      <c r="AL696">
        <v>59.146000000000001</v>
      </c>
      <c r="AM696">
        <v>60.87</v>
      </c>
      <c r="AN696">
        <v>61.072000000000003</v>
      </c>
      <c r="AO696">
        <v>60.585999999999999</v>
      </c>
      <c r="AP696">
        <v>59.087000000000003</v>
      </c>
      <c r="AQ696">
        <v>58.536999999999999</v>
      </c>
      <c r="AR696">
        <v>62.634999999999998</v>
      </c>
      <c r="AS696">
        <v>68.897999999999996</v>
      </c>
      <c r="AT696">
        <v>73.721000000000004</v>
      </c>
      <c r="AU696">
        <v>76.67</v>
      </c>
      <c r="AV696">
        <v>79.352999999999994</v>
      </c>
      <c r="AW696">
        <v>82.131</v>
      </c>
    </row>
    <row r="697" spans="1:49" x14ac:dyDescent="0.35">
      <c r="A697" t="s">
        <v>225</v>
      </c>
      <c r="B697" t="s">
        <v>78</v>
      </c>
      <c r="C697" t="s">
        <v>80</v>
      </c>
      <c r="D697" t="s">
        <v>35</v>
      </c>
      <c r="F697" t="s">
        <v>81</v>
      </c>
      <c r="G697" t="s">
        <v>82</v>
      </c>
      <c r="H697" t="s">
        <v>82</v>
      </c>
      <c r="I697" t="s">
        <v>82</v>
      </c>
      <c r="J697" t="s">
        <v>82</v>
      </c>
      <c r="K697" t="s">
        <v>82</v>
      </c>
      <c r="L697" t="s">
        <v>82</v>
      </c>
      <c r="M697" t="s">
        <v>82</v>
      </c>
      <c r="N697" t="s">
        <v>82</v>
      </c>
      <c r="O697" t="s">
        <v>82</v>
      </c>
      <c r="P697" t="s">
        <v>82</v>
      </c>
      <c r="Q697" t="s">
        <v>82</v>
      </c>
      <c r="R697" t="s">
        <v>82</v>
      </c>
      <c r="S697" t="s">
        <v>82</v>
      </c>
      <c r="T697" t="s">
        <v>82</v>
      </c>
      <c r="U697" t="s">
        <v>82</v>
      </c>
      <c r="V697" t="s">
        <v>82</v>
      </c>
      <c r="W697" t="s">
        <v>82</v>
      </c>
      <c r="X697" t="s">
        <v>82</v>
      </c>
      <c r="Y697" t="s">
        <v>82</v>
      </c>
      <c r="Z697" t="s">
        <v>82</v>
      </c>
      <c r="AA697" t="s">
        <v>82</v>
      </c>
      <c r="AB697" t="s">
        <v>82</v>
      </c>
      <c r="AC697" t="s">
        <v>82</v>
      </c>
      <c r="AD697" t="s">
        <v>82</v>
      </c>
      <c r="AE697" t="s">
        <v>82</v>
      </c>
      <c r="AF697" t="s">
        <v>82</v>
      </c>
      <c r="AG697" t="s">
        <v>82</v>
      </c>
      <c r="AH697" t="s">
        <v>82</v>
      </c>
      <c r="AI697" t="s">
        <v>82</v>
      </c>
      <c r="AJ697">
        <v>-7.67</v>
      </c>
      <c r="AK697">
        <v>3.2170000000000001</v>
      </c>
      <c r="AL697">
        <v>4.92</v>
      </c>
      <c r="AM697">
        <v>2.9140000000000001</v>
      </c>
      <c r="AN697">
        <v>0.33100000000000002</v>
      </c>
      <c r="AO697">
        <v>-0.79600000000000004</v>
      </c>
      <c r="AP697">
        <v>-2.4729999999999999</v>
      </c>
      <c r="AQ697">
        <v>-0.93100000000000005</v>
      </c>
      <c r="AR697">
        <v>7</v>
      </c>
      <c r="AS697">
        <v>10</v>
      </c>
      <c r="AT697">
        <v>7</v>
      </c>
      <c r="AU697">
        <v>4</v>
      </c>
      <c r="AV697">
        <v>3.5</v>
      </c>
      <c r="AW697">
        <v>3.5</v>
      </c>
    </row>
    <row r="698" spans="1:49" x14ac:dyDescent="0.35">
      <c r="A698" t="s">
        <v>225</v>
      </c>
      <c r="B698" t="s">
        <v>83</v>
      </c>
      <c r="D698" t="s">
        <v>64</v>
      </c>
    </row>
    <row r="699" spans="1:49" x14ac:dyDescent="0.35">
      <c r="A699" t="s">
        <v>225</v>
      </c>
      <c r="B699" t="s">
        <v>84</v>
      </c>
      <c r="C699" t="s">
        <v>85</v>
      </c>
      <c r="D699" t="s">
        <v>35</v>
      </c>
    </row>
    <row r="700" spans="1:49" x14ac:dyDescent="0.35">
      <c r="A700" t="s">
        <v>225</v>
      </c>
      <c r="B700" t="s">
        <v>87</v>
      </c>
      <c r="C700" t="s">
        <v>88</v>
      </c>
      <c r="D700" t="s">
        <v>35</v>
      </c>
      <c r="F700" t="s">
        <v>228</v>
      </c>
      <c r="G700" t="s">
        <v>82</v>
      </c>
      <c r="H700" t="s">
        <v>82</v>
      </c>
      <c r="I700" t="s">
        <v>82</v>
      </c>
      <c r="J700" t="s">
        <v>82</v>
      </c>
      <c r="K700" t="s">
        <v>82</v>
      </c>
      <c r="L700" t="s">
        <v>82</v>
      </c>
      <c r="M700">
        <v>-4.0999999999999996</v>
      </c>
      <c r="N700">
        <v>-5.7939999999999996</v>
      </c>
      <c r="O700">
        <v>4.3650000000000002</v>
      </c>
      <c r="P700">
        <v>12.262</v>
      </c>
      <c r="Q700">
        <v>9.6530000000000005</v>
      </c>
      <c r="R700">
        <v>15.26</v>
      </c>
      <c r="S700">
        <v>3.3410000000000002</v>
      </c>
      <c r="T700">
        <v>-11.4</v>
      </c>
      <c r="U700">
        <v>12.994</v>
      </c>
      <c r="V700">
        <v>9.8859999999999992</v>
      </c>
      <c r="W700">
        <v>11.743</v>
      </c>
      <c r="X700">
        <v>17.634</v>
      </c>
      <c r="Y700">
        <v>-9.77</v>
      </c>
      <c r="Z700">
        <v>-20.768000000000001</v>
      </c>
      <c r="AA700">
        <v>6</v>
      </c>
      <c r="AB700">
        <v>-1.95</v>
      </c>
      <c r="AC700">
        <v>3.32</v>
      </c>
      <c r="AD700">
        <v>-23.24</v>
      </c>
      <c r="AE700">
        <v>-6.1929999999999996</v>
      </c>
      <c r="AF700">
        <v>-9.5079999999999991</v>
      </c>
      <c r="AG700">
        <v>-2.6480000000000001</v>
      </c>
      <c r="AH700">
        <v>-13.526999999999999</v>
      </c>
      <c r="AI700">
        <v>13.186</v>
      </c>
      <c r="AJ700">
        <v>32.677</v>
      </c>
      <c r="AK700">
        <v>34.863999999999997</v>
      </c>
      <c r="AL700">
        <v>26.268000000000001</v>
      </c>
      <c r="AM700">
        <v>-6.2290000000000001</v>
      </c>
      <c r="AN700">
        <v>6.0439999999999996</v>
      </c>
      <c r="AO700">
        <v>-4.5</v>
      </c>
      <c r="AP700">
        <v>11.544</v>
      </c>
      <c r="AQ700">
        <v>-7.508</v>
      </c>
      <c r="AR700">
        <v>-1.161</v>
      </c>
      <c r="AS700">
        <v>-1.0669999999999999</v>
      </c>
      <c r="AT700">
        <v>5.8280000000000003</v>
      </c>
      <c r="AU700">
        <v>4.6790000000000003</v>
      </c>
      <c r="AV700">
        <v>5.3730000000000002</v>
      </c>
      <c r="AW700">
        <v>2.758</v>
      </c>
    </row>
    <row r="701" spans="1:49" x14ac:dyDescent="0.35">
      <c r="A701" t="s">
        <v>225</v>
      </c>
      <c r="B701" t="s">
        <v>89</v>
      </c>
      <c r="C701" t="s">
        <v>90</v>
      </c>
      <c r="D701" t="s">
        <v>35</v>
      </c>
    </row>
    <row r="702" spans="1:49" x14ac:dyDescent="0.35">
      <c r="A702" t="s">
        <v>225</v>
      </c>
      <c r="B702" t="s">
        <v>91</v>
      </c>
      <c r="C702" t="s">
        <v>92</v>
      </c>
      <c r="D702" t="s">
        <v>35</v>
      </c>
      <c r="F702" t="s">
        <v>228</v>
      </c>
      <c r="G702" t="s">
        <v>82</v>
      </c>
      <c r="H702" t="s">
        <v>82</v>
      </c>
      <c r="I702" t="s">
        <v>82</v>
      </c>
      <c r="J702" t="s">
        <v>82</v>
      </c>
      <c r="K702" t="s">
        <v>82</v>
      </c>
      <c r="L702" t="s">
        <v>82</v>
      </c>
      <c r="M702">
        <v>9.1999999999999993</v>
      </c>
      <c r="N702">
        <v>1.5329999999999999</v>
      </c>
      <c r="O702">
        <v>-12.925000000000001</v>
      </c>
      <c r="P702">
        <v>-4.2249999999999996</v>
      </c>
      <c r="Q702">
        <v>-3.62</v>
      </c>
      <c r="R702">
        <v>-5.2430000000000003</v>
      </c>
      <c r="S702">
        <v>-8.8859999999999992</v>
      </c>
      <c r="T702">
        <v>17.779</v>
      </c>
      <c r="U702">
        <v>11.88</v>
      </c>
      <c r="V702">
        <v>0.28299999999999997</v>
      </c>
      <c r="W702">
        <v>7.1719999999999997</v>
      </c>
      <c r="X702">
        <v>-1.248</v>
      </c>
      <c r="Y702">
        <v>-8.9529999999999994</v>
      </c>
      <c r="Z702">
        <v>5.3739999999999997</v>
      </c>
      <c r="AA702">
        <v>6.0540000000000003</v>
      </c>
      <c r="AB702">
        <v>5.3810000000000002</v>
      </c>
      <c r="AC702">
        <v>-17.745999999999999</v>
      </c>
      <c r="AD702">
        <v>-19.986000000000001</v>
      </c>
      <c r="AE702">
        <v>-8.3230000000000004</v>
      </c>
      <c r="AF702">
        <v>-9.3539999999999992</v>
      </c>
      <c r="AG702">
        <v>-2.504</v>
      </c>
      <c r="AH702">
        <v>-7.859</v>
      </c>
      <c r="AI702">
        <v>-39.716999999999999</v>
      </c>
      <c r="AJ702">
        <v>-7.5289999999999999</v>
      </c>
      <c r="AK702">
        <v>59.258000000000003</v>
      </c>
      <c r="AL702">
        <v>21.363</v>
      </c>
      <c r="AM702">
        <v>-10.055</v>
      </c>
      <c r="AN702">
        <v>2.0510000000000002</v>
      </c>
      <c r="AO702">
        <v>-2.0990000000000002</v>
      </c>
      <c r="AP702">
        <v>16.722000000000001</v>
      </c>
      <c r="AQ702">
        <v>4.7050000000000001</v>
      </c>
      <c r="AR702">
        <v>-4.2190000000000003</v>
      </c>
      <c r="AS702">
        <v>5.343</v>
      </c>
      <c r="AT702">
        <v>5.9409999999999998</v>
      </c>
      <c r="AU702">
        <v>6.6000000000000003E-2</v>
      </c>
      <c r="AV702">
        <v>1.8939999999999999</v>
      </c>
      <c r="AW702">
        <v>1.9370000000000001</v>
      </c>
    </row>
    <row r="703" spans="1:49" x14ac:dyDescent="0.35">
      <c r="A703" t="s">
        <v>225</v>
      </c>
      <c r="B703" t="s">
        <v>93</v>
      </c>
      <c r="C703" t="s">
        <v>94</v>
      </c>
      <c r="D703" t="s">
        <v>95</v>
      </c>
    </row>
    <row r="704" spans="1:49" x14ac:dyDescent="0.35">
      <c r="A704" t="s">
        <v>225</v>
      </c>
      <c r="B704" t="s">
        <v>96</v>
      </c>
      <c r="C704" t="s">
        <v>97</v>
      </c>
      <c r="D704" t="s">
        <v>98</v>
      </c>
      <c r="E704" t="s">
        <v>99</v>
      </c>
    </row>
    <row r="705" spans="1:49" x14ac:dyDescent="0.35">
      <c r="A705" t="s">
        <v>225</v>
      </c>
      <c r="B705" t="s">
        <v>100</v>
      </c>
      <c r="C705" t="s">
        <v>101</v>
      </c>
      <c r="D705" t="s">
        <v>98</v>
      </c>
      <c r="E705" t="s">
        <v>99</v>
      </c>
      <c r="F705" t="s">
        <v>229</v>
      </c>
      <c r="G705">
        <v>7.0919999999999996</v>
      </c>
      <c r="H705">
        <v>7.3</v>
      </c>
      <c r="I705">
        <v>7.6059999999999999</v>
      </c>
      <c r="J705">
        <v>7.8490000000000002</v>
      </c>
      <c r="K705">
        <v>8.0990000000000002</v>
      </c>
      <c r="L705">
        <v>8.3849999999999998</v>
      </c>
      <c r="M705">
        <v>8.6479999999999997</v>
      </c>
      <c r="N705">
        <v>8.9190000000000005</v>
      </c>
      <c r="O705">
        <v>9.1989999999999998</v>
      </c>
      <c r="P705">
        <v>9.4879999999999995</v>
      </c>
      <c r="Q705">
        <v>9.7859999999999996</v>
      </c>
      <c r="R705">
        <v>10.093</v>
      </c>
      <c r="S705">
        <v>10.41</v>
      </c>
      <c r="T705">
        <v>10.776</v>
      </c>
      <c r="U705">
        <v>11.147</v>
      </c>
      <c r="V705">
        <v>11.523</v>
      </c>
      <c r="W705">
        <v>11.904999999999999</v>
      </c>
      <c r="X705">
        <v>11.786</v>
      </c>
      <c r="Y705">
        <v>11.756</v>
      </c>
      <c r="Z705">
        <v>11.724</v>
      </c>
      <c r="AA705">
        <v>11.693</v>
      </c>
      <c r="AB705">
        <v>11.663</v>
      </c>
      <c r="AC705">
        <v>11.632</v>
      </c>
      <c r="AD705">
        <v>11.64</v>
      </c>
      <c r="AE705">
        <v>11.73</v>
      </c>
      <c r="AF705">
        <v>11.83</v>
      </c>
      <c r="AG705">
        <v>12.01</v>
      </c>
      <c r="AH705">
        <v>12.04</v>
      </c>
      <c r="AI705">
        <v>12.12</v>
      </c>
      <c r="AJ705">
        <v>12.23</v>
      </c>
      <c r="AK705">
        <v>12.34</v>
      </c>
      <c r="AL705">
        <v>12.459</v>
      </c>
      <c r="AM705">
        <v>13.061</v>
      </c>
      <c r="AN705">
        <v>13.43</v>
      </c>
      <c r="AO705">
        <v>13.778</v>
      </c>
      <c r="AP705">
        <v>14.135</v>
      </c>
      <c r="AQ705">
        <v>14.500999999999999</v>
      </c>
      <c r="AR705">
        <v>14.877000000000001</v>
      </c>
      <c r="AS705">
        <v>15.263</v>
      </c>
      <c r="AT705">
        <v>15.657999999999999</v>
      </c>
      <c r="AU705">
        <v>16.064</v>
      </c>
      <c r="AV705">
        <v>16.481000000000002</v>
      </c>
      <c r="AW705">
        <v>16.908000000000001</v>
      </c>
    </row>
    <row r="706" spans="1:49" x14ac:dyDescent="0.35">
      <c r="A706" t="s">
        <v>225</v>
      </c>
      <c r="B706" t="s">
        <v>103</v>
      </c>
      <c r="C706" t="s">
        <v>104</v>
      </c>
      <c r="D706" t="s">
        <v>31</v>
      </c>
      <c r="E706" t="s">
        <v>32</v>
      </c>
      <c r="F706" t="s">
        <v>230</v>
      </c>
      <c r="G706" t="s">
        <v>82</v>
      </c>
      <c r="H706" t="s">
        <v>82</v>
      </c>
      <c r="I706" t="s">
        <v>82</v>
      </c>
      <c r="J706" t="s">
        <v>82</v>
      </c>
      <c r="K706" t="s">
        <v>82</v>
      </c>
      <c r="L706" t="s">
        <v>82</v>
      </c>
      <c r="M706" t="s">
        <v>82</v>
      </c>
      <c r="N706" t="s">
        <v>82</v>
      </c>
      <c r="O706" t="s">
        <v>82</v>
      </c>
      <c r="P706" t="s">
        <v>82</v>
      </c>
      <c r="Q706" t="s">
        <v>82</v>
      </c>
      <c r="R706" t="s">
        <v>82</v>
      </c>
      <c r="S706" t="s">
        <v>82</v>
      </c>
      <c r="T706" t="s">
        <v>82</v>
      </c>
      <c r="U706" t="s">
        <v>82</v>
      </c>
      <c r="V706" t="s">
        <v>82</v>
      </c>
      <c r="W706" t="s">
        <v>82</v>
      </c>
      <c r="X706" t="s">
        <v>82</v>
      </c>
      <c r="Y706" t="s">
        <v>82</v>
      </c>
      <c r="Z706" t="s">
        <v>82</v>
      </c>
      <c r="AA706" t="s">
        <v>82</v>
      </c>
      <c r="AB706" t="s">
        <v>82</v>
      </c>
      <c r="AC706" t="s">
        <v>82</v>
      </c>
      <c r="AD706" t="s">
        <v>82</v>
      </c>
      <c r="AE706" t="s">
        <v>82</v>
      </c>
      <c r="AF706">
        <v>0.94199999999999995</v>
      </c>
      <c r="AG706">
        <v>0.52</v>
      </c>
      <c r="AH706">
        <v>0.20200000000000001</v>
      </c>
      <c r="AI706">
        <v>0.13300000000000001</v>
      </c>
      <c r="AJ706">
        <v>0.97499999999999998</v>
      </c>
      <c r="AK706">
        <v>2.1989999999999998</v>
      </c>
      <c r="AL706">
        <v>2.9209999999999998</v>
      </c>
      <c r="AM706">
        <v>3.496</v>
      </c>
      <c r="AN706">
        <v>3.7410000000000001</v>
      </c>
      <c r="AO706">
        <v>3.77</v>
      </c>
      <c r="AP706">
        <v>3.9</v>
      </c>
      <c r="AQ706">
        <v>3.5019999999999998</v>
      </c>
      <c r="AR706">
        <v>3.714</v>
      </c>
      <c r="AS706">
        <v>3.9809999999999999</v>
      </c>
      <c r="AT706">
        <v>4.3019999999999996</v>
      </c>
      <c r="AU706">
        <v>4.4279999999999999</v>
      </c>
      <c r="AV706">
        <v>4.577</v>
      </c>
      <c r="AW706">
        <v>4.4279999999999999</v>
      </c>
    </row>
    <row r="707" spans="1:49" x14ac:dyDescent="0.35">
      <c r="A707" t="s">
        <v>225</v>
      </c>
      <c r="B707" t="s">
        <v>103</v>
      </c>
      <c r="C707" t="s">
        <v>104</v>
      </c>
      <c r="D707" t="s">
        <v>70</v>
      </c>
      <c r="F707" t="s">
        <v>106</v>
      </c>
      <c r="G707" t="s">
        <v>82</v>
      </c>
      <c r="H707" t="s">
        <v>82</v>
      </c>
      <c r="I707" t="s">
        <v>82</v>
      </c>
      <c r="J707" t="s">
        <v>82</v>
      </c>
      <c r="K707" t="s">
        <v>82</v>
      </c>
      <c r="L707" t="s">
        <v>82</v>
      </c>
      <c r="M707" t="s">
        <v>82</v>
      </c>
      <c r="N707" t="s">
        <v>82</v>
      </c>
      <c r="O707" t="s">
        <v>82</v>
      </c>
      <c r="P707" t="s">
        <v>82</v>
      </c>
      <c r="Q707" t="s">
        <v>82</v>
      </c>
      <c r="R707" t="s">
        <v>82</v>
      </c>
      <c r="S707" t="s">
        <v>82</v>
      </c>
      <c r="T707" t="s">
        <v>82</v>
      </c>
      <c r="U707" t="s">
        <v>82</v>
      </c>
      <c r="V707" t="s">
        <v>82</v>
      </c>
      <c r="W707" t="s">
        <v>82</v>
      </c>
      <c r="X707" t="s">
        <v>82</v>
      </c>
      <c r="Y707" t="s">
        <v>82</v>
      </c>
      <c r="Z707" t="s">
        <v>82</v>
      </c>
      <c r="AA707" t="s">
        <v>82</v>
      </c>
      <c r="AB707" t="s">
        <v>82</v>
      </c>
      <c r="AC707" t="s">
        <v>82</v>
      </c>
      <c r="AD707" t="s">
        <v>82</v>
      </c>
      <c r="AE707" t="s">
        <v>82</v>
      </c>
      <c r="AF707">
        <v>11.66</v>
      </c>
      <c r="AG707">
        <v>7.1310000000000002</v>
      </c>
      <c r="AH707">
        <v>2.883</v>
      </c>
      <c r="AI707">
        <v>2.226</v>
      </c>
      <c r="AJ707">
        <v>11.651999999999999</v>
      </c>
      <c r="AK707">
        <v>21.846</v>
      </c>
      <c r="AL707">
        <v>24.198</v>
      </c>
      <c r="AM707">
        <v>24.866</v>
      </c>
      <c r="AN707">
        <v>24.574000000000002</v>
      </c>
      <c r="AO707">
        <v>23.809000000000001</v>
      </c>
      <c r="AP707">
        <v>24.268000000000001</v>
      </c>
      <c r="AQ707">
        <v>21.72</v>
      </c>
      <c r="AR707">
        <v>21.713000000000001</v>
      </c>
      <c r="AS707">
        <v>21.056999999999999</v>
      </c>
      <c r="AT707">
        <v>20.885000000000002</v>
      </c>
      <c r="AU707">
        <v>20.658000000000001</v>
      </c>
      <c r="AV707">
        <v>20.600999999999999</v>
      </c>
      <c r="AW707">
        <v>19.355</v>
      </c>
    </row>
    <row r="708" spans="1:49" x14ac:dyDescent="0.35">
      <c r="A708" t="s">
        <v>225</v>
      </c>
      <c r="B708" t="s">
        <v>107</v>
      </c>
      <c r="C708" t="s">
        <v>108</v>
      </c>
      <c r="D708" t="s">
        <v>31</v>
      </c>
      <c r="E708" t="s">
        <v>32</v>
      </c>
      <c r="F708" t="s">
        <v>230</v>
      </c>
      <c r="G708" t="s">
        <v>82</v>
      </c>
      <c r="H708" t="s">
        <v>82</v>
      </c>
      <c r="I708" t="s">
        <v>82</v>
      </c>
      <c r="J708" t="s">
        <v>82</v>
      </c>
      <c r="K708" t="s">
        <v>82</v>
      </c>
      <c r="L708" t="s">
        <v>82</v>
      </c>
      <c r="M708" t="s">
        <v>82</v>
      </c>
      <c r="N708" t="s">
        <v>82</v>
      </c>
      <c r="O708" t="s">
        <v>82</v>
      </c>
      <c r="P708" t="s">
        <v>82</v>
      </c>
      <c r="Q708" t="s">
        <v>82</v>
      </c>
      <c r="R708" t="s">
        <v>82</v>
      </c>
      <c r="S708" t="s">
        <v>82</v>
      </c>
      <c r="T708" t="s">
        <v>82</v>
      </c>
      <c r="U708" t="s">
        <v>82</v>
      </c>
      <c r="V708" t="s">
        <v>82</v>
      </c>
      <c r="W708" t="s">
        <v>82</v>
      </c>
      <c r="X708" t="s">
        <v>82</v>
      </c>
      <c r="Y708" t="s">
        <v>82</v>
      </c>
      <c r="Z708" t="s">
        <v>82</v>
      </c>
      <c r="AA708" t="s">
        <v>82</v>
      </c>
      <c r="AB708" t="s">
        <v>82</v>
      </c>
      <c r="AC708" t="s">
        <v>82</v>
      </c>
      <c r="AD708" t="s">
        <v>82</v>
      </c>
      <c r="AE708" t="s">
        <v>82</v>
      </c>
      <c r="AF708">
        <v>1.4370000000000001</v>
      </c>
      <c r="AG708">
        <v>0.69799999999999995</v>
      </c>
      <c r="AH708">
        <v>0.40699999999999997</v>
      </c>
      <c r="AI708">
        <v>0.254</v>
      </c>
      <c r="AJ708">
        <v>1.1439999999999999</v>
      </c>
      <c r="AK708">
        <v>2.1320000000000001</v>
      </c>
      <c r="AL708">
        <v>2.9870000000000001</v>
      </c>
      <c r="AM708">
        <v>3.492</v>
      </c>
      <c r="AN708">
        <v>3.9940000000000002</v>
      </c>
      <c r="AO708">
        <v>3.988</v>
      </c>
      <c r="AP708">
        <v>4.0590000000000002</v>
      </c>
      <c r="AQ708">
        <v>4.8630000000000004</v>
      </c>
      <c r="AR708">
        <v>4.5940000000000003</v>
      </c>
      <c r="AS708">
        <v>4.6180000000000003</v>
      </c>
      <c r="AT708">
        <v>4.9710000000000001</v>
      </c>
      <c r="AU708">
        <v>5.1280000000000001</v>
      </c>
      <c r="AV708">
        <v>5.319</v>
      </c>
      <c r="AW708">
        <v>5.1280000000000001</v>
      </c>
    </row>
    <row r="709" spans="1:49" x14ac:dyDescent="0.35">
      <c r="A709" t="s">
        <v>225</v>
      </c>
      <c r="B709" t="s">
        <v>107</v>
      </c>
      <c r="C709" t="s">
        <v>108</v>
      </c>
      <c r="D709" t="s">
        <v>70</v>
      </c>
      <c r="F709" t="s">
        <v>109</v>
      </c>
      <c r="G709" t="s">
        <v>82</v>
      </c>
      <c r="H709" t="s">
        <v>82</v>
      </c>
      <c r="I709" t="s">
        <v>82</v>
      </c>
      <c r="J709" t="s">
        <v>82</v>
      </c>
      <c r="K709" t="s">
        <v>82</v>
      </c>
      <c r="L709" t="s">
        <v>82</v>
      </c>
      <c r="M709" t="s">
        <v>82</v>
      </c>
      <c r="N709" t="s">
        <v>82</v>
      </c>
      <c r="O709" t="s">
        <v>82</v>
      </c>
      <c r="P709" t="s">
        <v>82</v>
      </c>
      <c r="Q709" t="s">
        <v>82</v>
      </c>
      <c r="R709" t="s">
        <v>82</v>
      </c>
      <c r="S709" t="s">
        <v>82</v>
      </c>
      <c r="T709" t="s">
        <v>82</v>
      </c>
      <c r="U709" t="s">
        <v>82</v>
      </c>
      <c r="V709" t="s">
        <v>82</v>
      </c>
      <c r="W709" t="s">
        <v>82</v>
      </c>
      <c r="X709" t="s">
        <v>82</v>
      </c>
      <c r="Y709" t="s">
        <v>82</v>
      </c>
      <c r="Z709" t="s">
        <v>82</v>
      </c>
      <c r="AA709" t="s">
        <v>82</v>
      </c>
      <c r="AB709" t="s">
        <v>82</v>
      </c>
      <c r="AC709" t="s">
        <v>82</v>
      </c>
      <c r="AD709" t="s">
        <v>82</v>
      </c>
      <c r="AE709" t="s">
        <v>82</v>
      </c>
      <c r="AF709">
        <v>17.8</v>
      </c>
      <c r="AG709">
        <v>9.5619999999999994</v>
      </c>
      <c r="AH709">
        <v>5.8239999999999998</v>
      </c>
      <c r="AI709">
        <v>4.2519999999999998</v>
      </c>
      <c r="AJ709">
        <v>13.673</v>
      </c>
      <c r="AK709">
        <v>21.178999999999998</v>
      </c>
      <c r="AL709">
        <v>24.742000000000001</v>
      </c>
      <c r="AM709">
        <v>24.84</v>
      </c>
      <c r="AN709">
        <v>26.234999999999999</v>
      </c>
      <c r="AO709">
        <v>25.184999999999999</v>
      </c>
      <c r="AP709">
        <v>25.253</v>
      </c>
      <c r="AQ709">
        <v>30.158999999999999</v>
      </c>
      <c r="AR709">
        <v>26.861000000000001</v>
      </c>
      <c r="AS709">
        <v>24.427</v>
      </c>
      <c r="AT709">
        <v>24.129000000000001</v>
      </c>
      <c r="AU709">
        <v>23.922999999999998</v>
      </c>
      <c r="AV709">
        <v>23.939</v>
      </c>
      <c r="AW709">
        <v>22.414999999999999</v>
      </c>
    </row>
    <row r="710" spans="1:49" x14ac:dyDescent="0.35">
      <c r="A710" t="s">
        <v>225</v>
      </c>
      <c r="B710" t="s">
        <v>110</v>
      </c>
      <c r="C710" t="s">
        <v>111</v>
      </c>
      <c r="D710" t="s">
        <v>31</v>
      </c>
      <c r="E710" t="s">
        <v>32</v>
      </c>
      <c r="F710" t="s">
        <v>230</v>
      </c>
      <c r="G710" t="s">
        <v>82</v>
      </c>
      <c r="H710" t="s">
        <v>82</v>
      </c>
      <c r="I710" t="s">
        <v>82</v>
      </c>
      <c r="J710" t="s">
        <v>82</v>
      </c>
      <c r="K710" t="s">
        <v>82</v>
      </c>
      <c r="L710" t="s">
        <v>82</v>
      </c>
      <c r="M710" t="s">
        <v>82</v>
      </c>
      <c r="N710" t="s">
        <v>82</v>
      </c>
      <c r="O710" t="s">
        <v>82</v>
      </c>
      <c r="P710" t="s">
        <v>82</v>
      </c>
      <c r="Q710" t="s">
        <v>82</v>
      </c>
      <c r="R710" t="s">
        <v>82</v>
      </c>
      <c r="S710" t="s">
        <v>82</v>
      </c>
      <c r="T710" t="s">
        <v>82</v>
      </c>
      <c r="U710" t="s">
        <v>82</v>
      </c>
      <c r="V710" t="s">
        <v>82</v>
      </c>
      <c r="W710" t="s">
        <v>82</v>
      </c>
      <c r="X710" t="s">
        <v>82</v>
      </c>
      <c r="Y710" t="s">
        <v>82</v>
      </c>
      <c r="Z710" t="s">
        <v>82</v>
      </c>
      <c r="AA710" t="s">
        <v>82</v>
      </c>
      <c r="AB710" t="s">
        <v>82</v>
      </c>
      <c r="AC710" t="s">
        <v>82</v>
      </c>
      <c r="AD710" t="s">
        <v>82</v>
      </c>
      <c r="AE710" t="s">
        <v>82</v>
      </c>
      <c r="AF710">
        <v>-0.496</v>
      </c>
      <c r="AG710">
        <v>-0.17699999999999999</v>
      </c>
      <c r="AH710">
        <v>-0.20599999999999999</v>
      </c>
      <c r="AI710">
        <v>-0.121</v>
      </c>
      <c r="AJ710">
        <v>-0.16900000000000001</v>
      </c>
      <c r="AK710">
        <v>6.7000000000000004E-2</v>
      </c>
      <c r="AL710">
        <v>-6.6000000000000003E-2</v>
      </c>
      <c r="AM710">
        <v>4.0000000000000001E-3</v>
      </c>
      <c r="AN710">
        <v>-0.253</v>
      </c>
      <c r="AO710">
        <v>-0.218</v>
      </c>
      <c r="AP710">
        <v>-0.158</v>
      </c>
      <c r="AQ710">
        <v>-1.361</v>
      </c>
      <c r="AR710">
        <v>-0.88100000000000001</v>
      </c>
      <c r="AS710">
        <v>-0.63700000000000001</v>
      </c>
      <c r="AT710">
        <v>-0.66800000000000004</v>
      </c>
      <c r="AU710">
        <v>-0.7</v>
      </c>
      <c r="AV710">
        <v>-0.74199999999999999</v>
      </c>
      <c r="AW710">
        <v>-0.7</v>
      </c>
    </row>
    <row r="711" spans="1:49" x14ac:dyDescent="0.35">
      <c r="A711" t="s">
        <v>225</v>
      </c>
      <c r="B711" t="s">
        <v>110</v>
      </c>
      <c r="C711" t="s">
        <v>111</v>
      </c>
      <c r="D711" t="s">
        <v>70</v>
      </c>
      <c r="F711" t="s">
        <v>112</v>
      </c>
      <c r="G711" t="s">
        <v>82</v>
      </c>
      <c r="H711" t="s">
        <v>82</v>
      </c>
      <c r="I711" t="s">
        <v>82</v>
      </c>
      <c r="J711" t="s">
        <v>82</v>
      </c>
      <c r="K711" t="s">
        <v>82</v>
      </c>
      <c r="L711" t="s">
        <v>82</v>
      </c>
      <c r="M711" t="s">
        <v>82</v>
      </c>
      <c r="N711" t="s">
        <v>82</v>
      </c>
      <c r="O711" t="s">
        <v>82</v>
      </c>
      <c r="P711" t="s">
        <v>82</v>
      </c>
      <c r="Q711" t="s">
        <v>82</v>
      </c>
      <c r="R711" t="s">
        <v>82</v>
      </c>
      <c r="S711" t="s">
        <v>82</v>
      </c>
      <c r="T711" t="s">
        <v>82</v>
      </c>
      <c r="U711" t="s">
        <v>82</v>
      </c>
      <c r="V711" t="s">
        <v>82</v>
      </c>
      <c r="W711" t="s">
        <v>82</v>
      </c>
      <c r="X711" t="s">
        <v>82</v>
      </c>
      <c r="Y711" t="s">
        <v>82</v>
      </c>
      <c r="Z711" t="s">
        <v>82</v>
      </c>
      <c r="AA711" t="s">
        <v>82</v>
      </c>
      <c r="AB711" t="s">
        <v>82</v>
      </c>
      <c r="AC711" t="s">
        <v>82</v>
      </c>
      <c r="AD711" t="s">
        <v>82</v>
      </c>
      <c r="AE711" t="s">
        <v>82</v>
      </c>
      <c r="AF711">
        <v>-6.14</v>
      </c>
      <c r="AG711">
        <v>-2.4300000000000002</v>
      </c>
      <c r="AH711">
        <v>-2.9409999999999998</v>
      </c>
      <c r="AI711">
        <v>-2.0249999999999999</v>
      </c>
      <c r="AJ711">
        <v>-2.02</v>
      </c>
      <c r="AK711">
        <v>0.66700000000000004</v>
      </c>
      <c r="AL711">
        <v>-0.54500000000000004</v>
      </c>
      <c r="AM711">
        <v>2.5999999999999999E-2</v>
      </c>
      <c r="AN711">
        <v>-1.661</v>
      </c>
      <c r="AO711">
        <v>-1.377</v>
      </c>
      <c r="AP711">
        <v>-0.98499999999999999</v>
      </c>
      <c r="AQ711">
        <v>-8.4390000000000001</v>
      </c>
      <c r="AR711">
        <v>-5.1479999999999997</v>
      </c>
      <c r="AS711">
        <v>-3.37</v>
      </c>
      <c r="AT711">
        <v>-3.2440000000000002</v>
      </c>
      <c r="AU711">
        <v>-3.266</v>
      </c>
      <c r="AV711">
        <v>-3.3370000000000002</v>
      </c>
      <c r="AW711">
        <v>-3.06</v>
      </c>
    </row>
    <row r="712" spans="1:49" x14ac:dyDescent="0.35">
      <c r="A712" t="s">
        <v>225</v>
      </c>
      <c r="B712" t="s">
        <v>113</v>
      </c>
      <c r="C712" t="s">
        <v>114</v>
      </c>
      <c r="D712" t="s">
        <v>31</v>
      </c>
      <c r="E712" t="s">
        <v>32</v>
      </c>
    </row>
    <row r="713" spans="1:49" x14ac:dyDescent="0.35">
      <c r="A713" t="s">
        <v>225</v>
      </c>
      <c r="B713" t="s">
        <v>113</v>
      </c>
      <c r="C713" t="s">
        <v>114</v>
      </c>
      <c r="D713" t="s">
        <v>61</v>
      </c>
    </row>
    <row r="714" spans="1:49" x14ac:dyDescent="0.35">
      <c r="A714" t="s">
        <v>225</v>
      </c>
      <c r="B714" t="s">
        <v>115</v>
      </c>
      <c r="C714" t="s">
        <v>116</v>
      </c>
      <c r="D714" t="s">
        <v>31</v>
      </c>
      <c r="E714" t="s">
        <v>32</v>
      </c>
      <c r="F714" t="s">
        <v>230</v>
      </c>
      <c r="G714" t="s">
        <v>82</v>
      </c>
      <c r="H714" t="s">
        <v>82</v>
      </c>
      <c r="I714" t="s">
        <v>82</v>
      </c>
      <c r="J714" t="s">
        <v>82</v>
      </c>
      <c r="K714" t="s">
        <v>82</v>
      </c>
      <c r="L714" t="s">
        <v>82</v>
      </c>
      <c r="M714" t="s">
        <v>82</v>
      </c>
      <c r="N714" t="s">
        <v>82</v>
      </c>
      <c r="O714" t="s">
        <v>82</v>
      </c>
      <c r="P714" t="s">
        <v>82</v>
      </c>
      <c r="Q714" t="s">
        <v>82</v>
      </c>
      <c r="R714" t="s">
        <v>82</v>
      </c>
      <c r="S714" t="s">
        <v>82</v>
      </c>
      <c r="T714" t="s">
        <v>82</v>
      </c>
      <c r="U714" t="s">
        <v>82</v>
      </c>
      <c r="V714" t="s">
        <v>82</v>
      </c>
      <c r="W714" t="s">
        <v>82</v>
      </c>
      <c r="X714" t="s">
        <v>82</v>
      </c>
      <c r="Y714" t="s">
        <v>82</v>
      </c>
      <c r="Z714" t="s">
        <v>82</v>
      </c>
      <c r="AA714" t="s">
        <v>82</v>
      </c>
      <c r="AB714" t="s">
        <v>82</v>
      </c>
      <c r="AC714" t="s">
        <v>82</v>
      </c>
      <c r="AD714" t="s">
        <v>82</v>
      </c>
      <c r="AE714" t="s">
        <v>82</v>
      </c>
      <c r="AF714">
        <v>-0.26800000000000002</v>
      </c>
      <c r="AG714">
        <v>3.0000000000000001E-3</v>
      </c>
      <c r="AH714">
        <v>-8.4000000000000005E-2</v>
      </c>
      <c r="AI714">
        <v>1.7000000000000001E-2</v>
      </c>
      <c r="AJ714">
        <v>2.9000000000000001E-2</v>
      </c>
      <c r="AK714">
        <v>0.18099999999999999</v>
      </c>
      <c r="AL714">
        <v>-2.7E-2</v>
      </c>
      <c r="AM714">
        <v>4.3999999999999997E-2</v>
      </c>
      <c r="AN714">
        <v>-0.13600000000000001</v>
      </c>
      <c r="AO714">
        <v>-8.2000000000000003E-2</v>
      </c>
      <c r="AP714">
        <v>7.0000000000000001E-3</v>
      </c>
      <c r="AQ714">
        <v>-1.234</v>
      </c>
      <c r="AR714">
        <v>-0.69</v>
      </c>
      <c r="AS714">
        <v>-0.41199999999999998</v>
      </c>
      <c r="AT714">
        <v>-0.33600000000000002</v>
      </c>
      <c r="AU714">
        <v>-0.32700000000000001</v>
      </c>
      <c r="AV714">
        <v>-0.32800000000000001</v>
      </c>
      <c r="AW714">
        <v>-0.32700000000000001</v>
      </c>
    </row>
    <row r="715" spans="1:49" x14ac:dyDescent="0.35">
      <c r="A715" t="s">
        <v>225</v>
      </c>
      <c r="B715" t="s">
        <v>115</v>
      </c>
      <c r="C715" t="s">
        <v>116</v>
      </c>
      <c r="D715" t="s">
        <v>70</v>
      </c>
      <c r="F715" t="s">
        <v>117</v>
      </c>
      <c r="G715" t="s">
        <v>82</v>
      </c>
      <c r="H715" t="s">
        <v>82</v>
      </c>
      <c r="I715" t="s">
        <v>82</v>
      </c>
      <c r="J715" t="s">
        <v>82</v>
      </c>
      <c r="K715" t="s">
        <v>82</v>
      </c>
      <c r="L715" t="s">
        <v>82</v>
      </c>
      <c r="M715" t="s">
        <v>82</v>
      </c>
      <c r="N715" t="s">
        <v>82</v>
      </c>
      <c r="O715" t="s">
        <v>82</v>
      </c>
      <c r="P715" t="s">
        <v>82</v>
      </c>
      <c r="Q715" t="s">
        <v>82</v>
      </c>
      <c r="R715" t="s">
        <v>82</v>
      </c>
      <c r="S715" t="s">
        <v>82</v>
      </c>
      <c r="T715" t="s">
        <v>82</v>
      </c>
      <c r="U715" t="s">
        <v>82</v>
      </c>
      <c r="V715" t="s">
        <v>82</v>
      </c>
      <c r="W715" t="s">
        <v>82</v>
      </c>
      <c r="X715" t="s">
        <v>82</v>
      </c>
      <c r="Y715" t="s">
        <v>82</v>
      </c>
      <c r="Z715" t="s">
        <v>82</v>
      </c>
      <c r="AA715" t="s">
        <v>82</v>
      </c>
      <c r="AB715" t="s">
        <v>82</v>
      </c>
      <c r="AC715" t="s">
        <v>82</v>
      </c>
      <c r="AD715" t="s">
        <v>82</v>
      </c>
      <c r="AE715" t="s">
        <v>82</v>
      </c>
      <c r="AF715">
        <v>-3.3210000000000002</v>
      </c>
      <c r="AG715">
        <v>4.1000000000000002E-2</v>
      </c>
      <c r="AH715">
        <v>-1.202</v>
      </c>
      <c r="AI715">
        <v>0.28399999999999997</v>
      </c>
      <c r="AJ715">
        <v>0.34399999999999997</v>
      </c>
      <c r="AK715">
        <v>1.794</v>
      </c>
      <c r="AL715">
        <v>-0.22</v>
      </c>
      <c r="AM715">
        <v>0.313</v>
      </c>
      <c r="AN715">
        <v>-0.89600000000000002</v>
      </c>
      <c r="AO715">
        <v>-0.51500000000000001</v>
      </c>
      <c r="AP715">
        <v>4.3999999999999997E-2</v>
      </c>
      <c r="AQ715">
        <v>-7.6520000000000001</v>
      </c>
      <c r="AR715">
        <v>-4.0330000000000004</v>
      </c>
      <c r="AS715">
        <v>-2.1789999999999998</v>
      </c>
      <c r="AT715">
        <v>-1.633</v>
      </c>
      <c r="AU715">
        <v>-1.5269999999999999</v>
      </c>
      <c r="AV715">
        <v>-1.474</v>
      </c>
      <c r="AW715">
        <v>-1.43</v>
      </c>
    </row>
    <row r="716" spans="1:49" x14ac:dyDescent="0.35">
      <c r="A716" t="s">
        <v>225</v>
      </c>
      <c r="B716" t="s">
        <v>118</v>
      </c>
      <c r="C716" t="s">
        <v>119</v>
      </c>
      <c r="D716" t="s">
        <v>31</v>
      </c>
      <c r="E716" t="s">
        <v>32</v>
      </c>
    </row>
    <row r="717" spans="1:49" x14ac:dyDescent="0.35">
      <c r="A717" t="s">
        <v>225</v>
      </c>
      <c r="B717" t="s">
        <v>118</v>
      </c>
      <c r="C717" t="s">
        <v>119</v>
      </c>
      <c r="D717" t="s">
        <v>70</v>
      </c>
    </row>
    <row r="718" spans="1:49" x14ac:dyDescent="0.35">
      <c r="A718" t="s">
        <v>225</v>
      </c>
      <c r="B718" t="s">
        <v>120</v>
      </c>
      <c r="C718" t="s">
        <v>121</v>
      </c>
      <c r="D718" t="s">
        <v>31</v>
      </c>
      <c r="E718" t="s">
        <v>32</v>
      </c>
      <c r="F718" t="s">
        <v>230</v>
      </c>
      <c r="G718" t="s">
        <v>82</v>
      </c>
      <c r="H718" t="s">
        <v>82</v>
      </c>
      <c r="I718" t="s">
        <v>82</v>
      </c>
      <c r="J718" t="s">
        <v>82</v>
      </c>
      <c r="K718" t="s">
        <v>82</v>
      </c>
      <c r="L718" t="s">
        <v>82</v>
      </c>
      <c r="M718" t="s">
        <v>82</v>
      </c>
      <c r="N718" t="s">
        <v>82</v>
      </c>
      <c r="O718" t="s">
        <v>82</v>
      </c>
      <c r="P718" t="s">
        <v>82</v>
      </c>
      <c r="Q718" t="s">
        <v>82</v>
      </c>
      <c r="R718" t="s">
        <v>82</v>
      </c>
      <c r="S718" t="s">
        <v>82</v>
      </c>
      <c r="T718" t="s">
        <v>82</v>
      </c>
      <c r="U718" t="s">
        <v>82</v>
      </c>
      <c r="V718" t="s">
        <v>82</v>
      </c>
      <c r="W718" t="s">
        <v>82</v>
      </c>
      <c r="X718" t="s">
        <v>82</v>
      </c>
      <c r="Y718" t="s">
        <v>82</v>
      </c>
      <c r="Z718" t="s">
        <v>82</v>
      </c>
      <c r="AA718" t="s">
        <v>82</v>
      </c>
      <c r="AB718" t="s">
        <v>82</v>
      </c>
      <c r="AC718" t="s">
        <v>82</v>
      </c>
      <c r="AD718" t="s">
        <v>82</v>
      </c>
      <c r="AE718" t="s">
        <v>82</v>
      </c>
      <c r="AF718">
        <v>2.9910000000000001</v>
      </c>
      <c r="AG718">
        <v>3.2109999999999999</v>
      </c>
      <c r="AH718">
        <v>3.4769999999999999</v>
      </c>
      <c r="AI718">
        <v>4.0960000000000001</v>
      </c>
      <c r="AJ718">
        <v>4.2969999999999997</v>
      </c>
      <c r="AK718">
        <v>5.9690000000000003</v>
      </c>
      <c r="AL718">
        <v>5.024</v>
      </c>
      <c r="AM718">
        <v>5.4560000000000004</v>
      </c>
      <c r="AN718">
        <v>7.36</v>
      </c>
      <c r="AO718">
        <v>7.8540000000000001</v>
      </c>
      <c r="AP718">
        <v>8.3460000000000001</v>
      </c>
      <c r="AQ718">
        <v>11.237</v>
      </c>
      <c r="AR718">
        <v>12.089</v>
      </c>
      <c r="AS718">
        <v>12.944000000000001</v>
      </c>
      <c r="AT718">
        <v>13.811</v>
      </c>
      <c r="AU718">
        <v>14.667</v>
      </c>
      <c r="AV718">
        <v>15.541</v>
      </c>
      <c r="AW718">
        <v>16.437000000000001</v>
      </c>
    </row>
    <row r="719" spans="1:49" x14ac:dyDescent="0.35">
      <c r="A719" t="s">
        <v>225</v>
      </c>
      <c r="B719" t="s">
        <v>120</v>
      </c>
      <c r="C719" t="s">
        <v>121</v>
      </c>
      <c r="D719" t="s">
        <v>70</v>
      </c>
      <c r="F719" t="s">
        <v>122</v>
      </c>
      <c r="G719" t="s">
        <v>82</v>
      </c>
      <c r="H719" t="s">
        <v>82</v>
      </c>
      <c r="I719" t="s">
        <v>82</v>
      </c>
      <c r="J719" t="s">
        <v>82</v>
      </c>
      <c r="K719" t="s">
        <v>82</v>
      </c>
      <c r="L719" t="s">
        <v>82</v>
      </c>
      <c r="M719" t="s">
        <v>82</v>
      </c>
      <c r="N719" t="s">
        <v>82</v>
      </c>
      <c r="O719" t="s">
        <v>82</v>
      </c>
      <c r="P719" t="s">
        <v>82</v>
      </c>
      <c r="Q719" t="s">
        <v>82</v>
      </c>
      <c r="R719" t="s">
        <v>82</v>
      </c>
      <c r="S719" t="s">
        <v>82</v>
      </c>
      <c r="T719" t="s">
        <v>82</v>
      </c>
      <c r="U719" t="s">
        <v>82</v>
      </c>
      <c r="V719" t="s">
        <v>82</v>
      </c>
      <c r="W719" t="s">
        <v>82</v>
      </c>
      <c r="X719" t="s">
        <v>82</v>
      </c>
      <c r="Y719" t="s">
        <v>82</v>
      </c>
      <c r="Z719" t="s">
        <v>82</v>
      </c>
      <c r="AA719" t="s">
        <v>82</v>
      </c>
      <c r="AB719" t="s">
        <v>82</v>
      </c>
      <c r="AC719" t="s">
        <v>82</v>
      </c>
      <c r="AD719" t="s">
        <v>82</v>
      </c>
      <c r="AE719" t="s">
        <v>82</v>
      </c>
      <c r="AF719">
        <v>37.034999999999997</v>
      </c>
      <c r="AG719">
        <v>43.996000000000002</v>
      </c>
      <c r="AH719">
        <v>49.722000000000001</v>
      </c>
      <c r="AI719">
        <v>68.566999999999993</v>
      </c>
      <c r="AJ719">
        <v>51.359000000000002</v>
      </c>
      <c r="AK719">
        <v>59.29</v>
      </c>
      <c r="AL719">
        <v>41.619</v>
      </c>
      <c r="AM719">
        <v>38.813000000000002</v>
      </c>
      <c r="AN719">
        <v>48.347000000000001</v>
      </c>
      <c r="AO719">
        <v>49.603999999999999</v>
      </c>
      <c r="AP719">
        <v>51.926000000000002</v>
      </c>
      <c r="AQ719">
        <v>69.692999999999998</v>
      </c>
      <c r="AR719">
        <v>70.677999999999997</v>
      </c>
      <c r="AS719">
        <v>68.472999999999999</v>
      </c>
      <c r="AT719">
        <v>67.042000000000002</v>
      </c>
      <c r="AU719">
        <v>68.424999999999997</v>
      </c>
      <c r="AV719">
        <v>69.947999999999993</v>
      </c>
      <c r="AW719">
        <v>71.846999999999994</v>
      </c>
    </row>
    <row r="720" spans="1:49" x14ac:dyDescent="0.35">
      <c r="A720" t="s">
        <v>225</v>
      </c>
      <c r="B720" t="s">
        <v>123</v>
      </c>
      <c r="C720" t="s">
        <v>124</v>
      </c>
      <c r="D720" t="s">
        <v>31</v>
      </c>
      <c r="E720" t="s">
        <v>32</v>
      </c>
      <c r="F720" t="s">
        <v>230</v>
      </c>
      <c r="G720" t="s">
        <v>82</v>
      </c>
      <c r="H720" t="s">
        <v>82</v>
      </c>
      <c r="I720" t="s">
        <v>82</v>
      </c>
      <c r="J720" t="s">
        <v>82</v>
      </c>
      <c r="K720" t="s">
        <v>82</v>
      </c>
      <c r="L720" t="s">
        <v>82</v>
      </c>
      <c r="M720" t="s">
        <v>82</v>
      </c>
      <c r="N720" t="s">
        <v>82</v>
      </c>
      <c r="O720" t="s">
        <v>82</v>
      </c>
      <c r="P720" t="s">
        <v>82</v>
      </c>
      <c r="Q720" t="s">
        <v>82</v>
      </c>
      <c r="R720" t="s">
        <v>82</v>
      </c>
      <c r="S720" t="s">
        <v>82</v>
      </c>
      <c r="T720" t="s">
        <v>82</v>
      </c>
      <c r="U720" t="s">
        <v>82</v>
      </c>
      <c r="V720" t="s">
        <v>82</v>
      </c>
      <c r="W720" t="s">
        <v>82</v>
      </c>
      <c r="X720" t="s">
        <v>82</v>
      </c>
      <c r="Y720" t="s">
        <v>82</v>
      </c>
      <c r="Z720" t="s">
        <v>82</v>
      </c>
      <c r="AA720">
        <v>10.302</v>
      </c>
      <c r="AB720">
        <v>10.15</v>
      </c>
      <c r="AC720">
        <v>9.6739999999999995</v>
      </c>
      <c r="AD720">
        <v>8.5299999999999994</v>
      </c>
      <c r="AE720">
        <v>8.4730000000000008</v>
      </c>
      <c r="AF720">
        <v>8.0749999999999993</v>
      </c>
      <c r="AG720">
        <v>7.298</v>
      </c>
      <c r="AH720">
        <v>6.9939999999999998</v>
      </c>
      <c r="AI720">
        <v>5.9740000000000002</v>
      </c>
      <c r="AJ720">
        <v>8.3670000000000009</v>
      </c>
      <c r="AK720">
        <v>10.067</v>
      </c>
      <c r="AL720">
        <v>12.071999999999999</v>
      </c>
      <c r="AM720">
        <v>14.058</v>
      </c>
      <c r="AN720">
        <v>15.224</v>
      </c>
      <c r="AO720">
        <v>15.834</v>
      </c>
      <c r="AP720">
        <v>16.071999999999999</v>
      </c>
      <c r="AQ720">
        <v>16.123999999999999</v>
      </c>
      <c r="AR720">
        <v>17.105</v>
      </c>
      <c r="AS720">
        <v>18.904</v>
      </c>
      <c r="AT720">
        <v>20.600999999999999</v>
      </c>
      <c r="AU720">
        <v>21.434000000000001</v>
      </c>
      <c r="AV720">
        <v>22.218</v>
      </c>
      <c r="AW720">
        <v>22.876999999999999</v>
      </c>
    </row>
    <row r="721" spans="1:49" x14ac:dyDescent="0.35">
      <c r="A721" t="s">
        <v>225</v>
      </c>
      <c r="B721" t="s">
        <v>125</v>
      </c>
      <c r="C721" t="s">
        <v>126</v>
      </c>
      <c r="D721" t="s">
        <v>41</v>
      </c>
      <c r="E721" t="s">
        <v>32</v>
      </c>
      <c r="F721" t="s">
        <v>231</v>
      </c>
      <c r="G721">
        <v>-0.30099999999999999</v>
      </c>
      <c r="H721">
        <v>-0.67400000000000004</v>
      </c>
      <c r="I721">
        <v>-0.748</v>
      </c>
      <c r="J721">
        <v>-0.504</v>
      </c>
      <c r="K721">
        <v>-0.17100000000000001</v>
      </c>
      <c r="L721">
        <v>-0.153</v>
      </c>
      <c r="M721">
        <v>-5.0999999999999997E-2</v>
      </c>
      <c r="N721">
        <v>0</v>
      </c>
      <c r="O721">
        <v>0.05</v>
      </c>
      <c r="P721">
        <v>-7.9000000000000001E-2</v>
      </c>
      <c r="Q721">
        <v>-0.25700000000000001</v>
      </c>
      <c r="R721">
        <v>-0.54700000000000004</v>
      </c>
      <c r="S721">
        <v>-0.84199999999999997</v>
      </c>
      <c r="T721">
        <v>-0.311</v>
      </c>
      <c r="U721">
        <v>-0.318</v>
      </c>
      <c r="V721">
        <v>-0.36899999999999999</v>
      </c>
      <c r="W721">
        <v>-0.18</v>
      </c>
      <c r="X721">
        <v>-0.80100000000000005</v>
      </c>
      <c r="Y721">
        <v>-0.159</v>
      </c>
      <c r="Z721">
        <v>0.24399999999999999</v>
      </c>
      <c r="AA721">
        <v>0.32200000000000001</v>
      </c>
      <c r="AB721">
        <v>0.36499999999999999</v>
      </c>
      <c r="AC721">
        <v>0.249</v>
      </c>
      <c r="AD721">
        <v>-6.9000000000000006E-2</v>
      </c>
      <c r="AE721">
        <v>-0.128</v>
      </c>
      <c r="AF721">
        <v>-0.626</v>
      </c>
      <c r="AG721">
        <v>-0.46300000000000002</v>
      </c>
      <c r="AH721">
        <v>-0.374</v>
      </c>
      <c r="AI721">
        <v>-1.002</v>
      </c>
      <c r="AJ721">
        <v>-1.1459999999999999</v>
      </c>
      <c r="AK721">
        <v>-1.256</v>
      </c>
      <c r="AL721">
        <v>-2.4279999999999999</v>
      </c>
      <c r="AM721">
        <v>-1.8180000000000001</v>
      </c>
      <c r="AN721">
        <v>-2.375</v>
      </c>
      <c r="AO721">
        <v>-2.395</v>
      </c>
      <c r="AP721">
        <v>-1.4950000000000001</v>
      </c>
      <c r="AQ721">
        <v>-0.66200000000000003</v>
      </c>
      <c r="AR721">
        <v>-0.61699999999999999</v>
      </c>
      <c r="AS721">
        <v>-0.159</v>
      </c>
      <c r="AT721">
        <v>-7.9000000000000001E-2</v>
      </c>
      <c r="AU721">
        <v>-0.21099999999999999</v>
      </c>
      <c r="AV721">
        <v>-0.37</v>
      </c>
      <c r="AW721">
        <v>-0.439</v>
      </c>
    </row>
    <row r="722" spans="1:49" x14ac:dyDescent="0.35">
      <c r="A722" t="s">
        <v>225</v>
      </c>
      <c r="B722" t="s">
        <v>125</v>
      </c>
      <c r="C722" t="s">
        <v>126</v>
      </c>
      <c r="D722" t="s">
        <v>70</v>
      </c>
      <c r="F722" t="s">
        <v>128</v>
      </c>
      <c r="G722" t="s">
        <v>82</v>
      </c>
      <c r="H722" t="s">
        <v>82</v>
      </c>
      <c r="I722" t="s">
        <v>82</v>
      </c>
      <c r="J722" t="s">
        <v>82</v>
      </c>
      <c r="K722" t="s">
        <v>82</v>
      </c>
      <c r="L722" t="s">
        <v>82</v>
      </c>
      <c r="M722" t="s">
        <v>82</v>
      </c>
      <c r="N722" t="s">
        <v>82</v>
      </c>
      <c r="O722" t="s">
        <v>82</v>
      </c>
      <c r="P722" t="s">
        <v>82</v>
      </c>
      <c r="Q722">
        <v>-2.927</v>
      </c>
      <c r="R722">
        <v>-6.6870000000000003</v>
      </c>
      <c r="S722">
        <v>-12.481999999999999</v>
      </c>
      <c r="T722">
        <v>-4.7469999999999999</v>
      </c>
      <c r="U722">
        <v>-4.6159999999999997</v>
      </c>
      <c r="V722">
        <v>-5.1589999999999998</v>
      </c>
      <c r="W722">
        <v>-2.0550000000000002</v>
      </c>
      <c r="X722">
        <v>-8.9149999999999991</v>
      </c>
      <c r="Y722">
        <v>-1.466</v>
      </c>
      <c r="Z722">
        <v>2.3170000000000002</v>
      </c>
      <c r="AA722">
        <v>3.1749999999999998</v>
      </c>
      <c r="AB722">
        <v>3.6520000000000001</v>
      </c>
      <c r="AC722">
        <v>2.6080000000000001</v>
      </c>
      <c r="AD722">
        <v>-0.81299999999999994</v>
      </c>
      <c r="AE722">
        <v>-1.5189999999999999</v>
      </c>
      <c r="AF722">
        <v>-7.7569999999999997</v>
      </c>
      <c r="AG722">
        <v>-6.3490000000000002</v>
      </c>
      <c r="AH722">
        <v>-5.3460000000000001</v>
      </c>
      <c r="AI722">
        <v>-16.766999999999999</v>
      </c>
      <c r="AJ722">
        <v>-13.694000000000001</v>
      </c>
      <c r="AK722">
        <v>-12.48</v>
      </c>
      <c r="AL722">
        <v>-20.109000000000002</v>
      </c>
      <c r="AM722">
        <v>-12.930999999999999</v>
      </c>
      <c r="AN722">
        <v>-15.598000000000001</v>
      </c>
      <c r="AO722">
        <v>-15.122999999999999</v>
      </c>
      <c r="AP722">
        <v>-9.3030000000000008</v>
      </c>
      <c r="AQ722">
        <v>-4.1029999999999998</v>
      </c>
      <c r="AR722">
        <v>-3.609</v>
      </c>
      <c r="AS722">
        <v>-0.84</v>
      </c>
      <c r="AT722">
        <v>-0.38300000000000001</v>
      </c>
      <c r="AU722">
        <v>-0.98599999999999999</v>
      </c>
      <c r="AV722">
        <v>-1.667</v>
      </c>
      <c r="AW722">
        <v>-1.92</v>
      </c>
    </row>
    <row r="724" spans="1:49" x14ac:dyDescent="0.35">
      <c r="A724" t="s">
        <v>232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
  <sheetViews>
    <sheetView zoomScale="118" workbookViewId="0">
      <pane xSplit="2" ySplit="1" topLeftCell="N2" activePane="bottomRight" state="frozen"/>
      <selection pane="topRight" activeCell="C1" sqref="C1"/>
      <selection pane="bottomLeft" activeCell="A2" sqref="A2"/>
      <selection pane="bottomRight" activeCell="C9" sqref="C9:Y9"/>
    </sheetView>
  </sheetViews>
  <sheetFormatPr defaultRowHeight="14.5" x14ac:dyDescent="0.35"/>
  <cols>
    <col min="1" max="1" width="13.1796875" customWidth="1"/>
    <col min="2" max="2" width="23.81640625" customWidth="1"/>
  </cols>
  <sheetData>
    <row r="1" spans="1:25" x14ac:dyDescent="0.35">
      <c r="A1" t="s">
        <v>0</v>
      </c>
      <c r="B1" t="s">
        <v>19</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35">
      <c r="A2" t="s">
        <v>6</v>
      </c>
      <c r="B2" t="s">
        <v>20</v>
      </c>
      <c r="C2">
        <f>D2/0.978</f>
        <v>31.456972501476052</v>
      </c>
      <c r="D2">
        <f>E2/0.978</f>
        <v>30.764919106443578</v>
      </c>
      <c r="E2">
        <f>F2/0.978</f>
        <v>30.088090886101821</v>
      </c>
      <c r="F2">
        <f>G2/0.978</f>
        <v>29.426152886607579</v>
      </c>
      <c r="G2">
        <f>H2/0.978</f>
        <v>28.77877752310221</v>
      </c>
      <c r="H2">
        <f>I2/0.978</f>
        <v>28.14564441759396</v>
      </c>
      <c r="I2">
        <v>27.526440240406892</v>
      </c>
      <c r="J2">
        <v>26.61745627310837</v>
      </c>
      <c r="K2">
        <v>27.920899875317929</v>
      </c>
      <c r="L2">
        <v>27.686814021981821</v>
      </c>
      <c r="M2">
        <v>23.883364205694878</v>
      </c>
      <c r="N2">
        <v>24.045326160706441</v>
      </c>
      <c r="O2">
        <v>28.036577661604138</v>
      </c>
      <c r="P2">
        <v>26.740390630359389</v>
      </c>
      <c r="Q2">
        <v>27.09282996604173</v>
      </c>
      <c r="R2">
        <v>26.311098851249838</v>
      </c>
      <c r="S2">
        <v>21.630055322764701</v>
      </c>
      <c r="T2">
        <v>23.933496314196347</v>
      </c>
      <c r="U2">
        <v>21.740494569156965</v>
      </c>
      <c r="V2">
        <v>21.098550997951275</v>
      </c>
      <c r="W2">
        <v>22.274646223455296</v>
      </c>
      <c r="X2">
        <v>22.245980822085667</v>
      </c>
      <c r="Y2">
        <v>22.819695734152862</v>
      </c>
    </row>
    <row r="3" spans="1:25" x14ac:dyDescent="0.35">
      <c r="A3" t="s">
        <v>7</v>
      </c>
      <c r="B3" t="s">
        <v>20</v>
      </c>
      <c r="C3">
        <v>17</v>
      </c>
      <c r="D3">
        <v>16.2</v>
      </c>
      <c r="E3">
        <v>15.5</v>
      </c>
      <c r="F3">
        <v>17.5</v>
      </c>
      <c r="G3">
        <v>24.7</v>
      </c>
      <c r="H3">
        <v>24.5</v>
      </c>
      <c r="I3">
        <v>30.2</v>
      </c>
      <c r="J3">
        <v>27.2</v>
      </c>
      <c r="K3">
        <v>29.8</v>
      </c>
      <c r="L3">
        <v>25.2</v>
      </c>
      <c r="M3">
        <v>15.3</v>
      </c>
      <c r="N3">
        <v>15.5</v>
      </c>
      <c r="O3">
        <v>29.8</v>
      </c>
      <c r="P3">
        <v>26.78</v>
      </c>
      <c r="Q3">
        <v>23.76</v>
      </c>
      <c r="R3">
        <v>20.740000000000002</v>
      </c>
      <c r="S3">
        <v>17.72</v>
      </c>
      <c r="T3">
        <v>23</v>
      </c>
      <c r="U3">
        <v>28.28</v>
      </c>
      <c r="V3">
        <v>28.76</v>
      </c>
      <c r="W3">
        <v>29.240000000000002</v>
      </c>
      <c r="X3">
        <v>29.720000000000002</v>
      </c>
      <c r="Y3">
        <f>AVERAGE(P3:X3)</f>
        <v>25.333333333333332</v>
      </c>
    </row>
    <row r="4" spans="1:25" x14ac:dyDescent="0.35">
      <c r="A4" t="s">
        <v>8</v>
      </c>
      <c r="B4" t="s">
        <v>20</v>
      </c>
      <c r="C4">
        <f>D4/0.956</f>
        <v>9.840420930621173</v>
      </c>
      <c r="D4">
        <f>E4/0.956</f>
        <v>9.4074424096738412</v>
      </c>
      <c r="E4">
        <f>F4/0.956</f>
        <v>8.9935149436481918</v>
      </c>
      <c r="F4">
        <v>8.5978002861276703</v>
      </c>
      <c r="G4">
        <v>9.3724198682296311</v>
      </c>
      <c r="H4">
        <v>8.6901555176453638</v>
      </c>
      <c r="I4">
        <v>9.2018816209267538</v>
      </c>
      <c r="J4">
        <v>9.8480613245243784</v>
      </c>
      <c r="K4">
        <v>11.391450838192517</v>
      </c>
      <c r="L4">
        <v>8.3441489612085533</v>
      </c>
      <c r="M4">
        <v>8.535319117555952</v>
      </c>
      <c r="N4">
        <v>8.7103236377338469</v>
      </c>
      <c r="O4">
        <v>8.3682555430776944</v>
      </c>
      <c r="P4">
        <v>8.7855917729324702</v>
      </c>
      <c r="Q4">
        <v>8.4411333821428833</v>
      </c>
      <c r="R4">
        <v>8.9453103734499653</v>
      </c>
      <c r="S4">
        <v>9.2448518734724221</v>
      </c>
      <c r="T4">
        <v>10.027544729967111</v>
      </c>
      <c r="U4">
        <v>10.283128679260138</v>
      </c>
      <c r="V4">
        <v>10.531864621217878</v>
      </c>
      <c r="W4">
        <v>9.5207287253425132</v>
      </c>
      <c r="X4">
        <v>10.238530699100322</v>
      </c>
      <c r="Y4">
        <v>10.091863738041544</v>
      </c>
    </row>
    <row r="5" spans="1:25" x14ac:dyDescent="0.35">
      <c r="A5" t="s">
        <v>9</v>
      </c>
      <c r="B5" t="s">
        <v>20</v>
      </c>
      <c r="C5">
        <f>D5/1.02</f>
        <v>8.3175015293069947</v>
      </c>
      <c r="D5">
        <f>E5/1.02</f>
        <v>8.4838515598931341</v>
      </c>
      <c r="E5">
        <f>F5/1.02</f>
        <v>8.6535285910909963</v>
      </c>
      <c r="F5">
        <f>G5/1.02</f>
        <v>8.8265991629128155</v>
      </c>
      <c r="G5">
        <f>H5/1.02</f>
        <v>9.0031311461710715</v>
      </c>
      <c r="H5">
        <f>I5/1.02</f>
        <v>9.1831937690944923</v>
      </c>
      <c r="I5">
        <f>J5/1.02</f>
        <v>9.3668576444763829</v>
      </c>
      <c r="J5">
        <f>K5/1.02</f>
        <v>9.5541947973659109</v>
      </c>
      <c r="K5">
        <f>L5/1.02</f>
        <v>9.7452786933132298</v>
      </c>
      <c r="L5">
        <v>9.9401842671794949</v>
      </c>
      <c r="M5">
        <v>10.563465020975455</v>
      </c>
      <c r="N5">
        <v>10.617706978391777</v>
      </c>
      <c r="O5">
        <v>9.3157151424038656</v>
      </c>
      <c r="P5">
        <v>9.7087435618013025</v>
      </c>
      <c r="Q5">
        <v>10.949109255438156</v>
      </c>
      <c r="R5">
        <v>10.536581779780949</v>
      </c>
      <c r="S5">
        <v>10.638963161967048</v>
      </c>
      <c r="T5">
        <v>12.184301943268014</v>
      </c>
      <c r="U5">
        <v>12.173878249450659</v>
      </c>
      <c r="V5">
        <v>12.003989610934941</v>
      </c>
      <c r="W5">
        <v>11.841996423858655</v>
      </c>
      <c r="X5">
        <v>11.381598621887422</v>
      </c>
      <c r="Y5">
        <v>11.070403127363663</v>
      </c>
    </row>
    <row r="6" spans="1:25" x14ac:dyDescent="0.35">
      <c r="A6" t="s">
        <v>10</v>
      </c>
      <c r="B6" t="s">
        <v>20</v>
      </c>
      <c r="C6">
        <v>16.953664022796964</v>
      </c>
      <c r="D6">
        <v>15.140801285536472</v>
      </c>
      <c r="E6">
        <v>15.006548804180714</v>
      </c>
      <c r="F6">
        <v>16.095327619903223</v>
      </c>
      <c r="G6">
        <v>16.240267058842988</v>
      </c>
      <c r="H6">
        <v>17.256387108996474</v>
      </c>
      <c r="I6">
        <v>16.028671422802532</v>
      </c>
      <c r="J6">
        <v>15.105461755175128</v>
      </c>
      <c r="K6">
        <v>16.967219458653176</v>
      </c>
      <c r="L6">
        <v>18.073013065712445</v>
      </c>
      <c r="M6">
        <v>18.016713372321462</v>
      </c>
      <c r="N6">
        <v>18.0045184138976</v>
      </c>
      <c r="O6">
        <v>18.621707486795724</v>
      </c>
      <c r="P6">
        <v>18.122603739689623</v>
      </c>
      <c r="Q6">
        <v>18.083856415994966</v>
      </c>
      <c r="R6">
        <v>8.7580059676530411</v>
      </c>
      <c r="S6">
        <v>17.607791653634781</v>
      </c>
      <c r="T6">
        <v>17.932644088854865</v>
      </c>
      <c r="U6">
        <v>18.406048111477521</v>
      </c>
      <c r="V6">
        <v>19.407438079467614</v>
      </c>
      <c r="W6">
        <v>20.706233464179256</v>
      </c>
      <c r="X6">
        <v>18.264394630822022</v>
      </c>
      <c r="Y6">
        <v>19.019962909295572</v>
      </c>
    </row>
    <row r="7" spans="1:25" x14ac:dyDescent="0.35">
      <c r="A7" t="s">
        <v>11</v>
      </c>
      <c r="B7" t="s">
        <v>20</v>
      </c>
      <c r="C7">
        <v>20.97606324641621</v>
      </c>
      <c r="D7">
        <v>21.700591426429465</v>
      </c>
      <c r="E7">
        <v>20.824892771235536</v>
      </c>
      <c r="F7">
        <v>20.492767087035379</v>
      </c>
      <c r="G7">
        <v>21.698596070751329</v>
      </c>
      <c r="H7">
        <v>22.972111180598304</v>
      </c>
      <c r="I7">
        <v>24.378085380834289</v>
      </c>
      <c r="J7">
        <v>24.807237282433604</v>
      </c>
      <c r="K7">
        <v>24.32280987007298</v>
      </c>
      <c r="L7">
        <v>21.894874300616181</v>
      </c>
      <c r="M7">
        <v>22.520603877613237</v>
      </c>
      <c r="N7">
        <v>22.8746700116825</v>
      </c>
      <c r="O7">
        <v>23.345765989473602</v>
      </c>
      <c r="P7">
        <v>23.83139136323803</v>
      </c>
      <c r="Q7">
        <v>24.431934217603381</v>
      </c>
      <c r="R7">
        <v>25.048692703114423</v>
      </c>
      <c r="S7">
        <v>24.82835598846961</v>
      </c>
      <c r="T7">
        <v>24.76928728923447</v>
      </c>
      <c r="U7">
        <v>24.894894072720597</v>
      </c>
      <c r="V7">
        <v>24.86734532700191</v>
      </c>
      <c r="W7">
        <v>23.243161184963078</v>
      </c>
      <c r="X7">
        <v>25.847792540492271</v>
      </c>
      <c r="Y7">
        <v>26.33801614723745</v>
      </c>
    </row>
    <row r="8" spans="1:25" x14ac:dyDescent="0.35">
      <c r="A8" t="s">
        <v>12</v>
      </c>
      <c r="B8" t="s">
        <v>20</v>
      </c>
      <c r="C8">
        <f>D8/1.02</f>
        <v>7.0947879922989685</v>
      </c>
      <c r="D8">
        <f>E8/1.06</f>
        <v>7.2366837521449483</v>
      </c>
      <c r="E8">
        <f t="shared" ref="E8:K8" si="0">F8/1.06</f>
        <v>7.6708847772736455</v>
      </c>
      <c r="F8">
        <f t="shared" si="0"/>
        <v>8.1311378639100642</v>
      </c>
      <c r="G8">
        <f t="shared" si="0"/>
        <v>8.6190061357446677</v>
      </c>
      <c r="H8">
        <f t="shared" si="0"/>
        <v>9.1361465038893481</v>
      </c>
      <c r="I8">
        <f t="shared" si="0"/>
        <v>9.68431529412271</v>
      </c>
      <c r="J8">
        <f t="shared" si="0"/>
        <v>10.265374211770073</v>
      </c>
      <c r="K8">
        <f t="shared" si="0"/>
        <v>10.881296664476277</v>
      </c>
      <c r="L8">
        <v>11.534174464344854</v>
      </c>
      <c r="M8">
        <v>9.9122615824278064</v>
      </c>
      <c r="N8">
        <v>9.7939820003844797</v>
      </c>
      <c r="O8">
        <v>10.43300401595717</v>
      </c>
      <c r="P8">
        <v>10.721923448486844</v>
      </c>
      <c r="Q8">
        <v>11.363796887442831</v>
      </c>
      <c r="R8">
        <v>10.492495494465329</v>
      </c>
      <c r="S8">
        <v>11.39033993680771</v>
      </c>
      <c r="T8">
        <v>11.836719019283795</v>
      </c>
      <c r="U8">
        <v>11.69508305828797</v>
      </c>
      <c r="V8">
        <v>11.847454619028099</v>
      </c>
      <c r="W8">
        <v>11.999826179768229</v>
      </c>
      <c r="X8">
        <v>12.15219774050836</v>
      </c>
      <c r="Y8">
        <v>12.30456930124849</v>
      </c>
    </row>
    <row r="9" spans="1:25" x14ac:dyDescent="0.35">
      <c r="A9" t="s">
        <v>13</v>
      </c>
      <c r="B9" t="s">
        <v>20</v>
      </c>
      <c r="C9">
        <f>D9/0.9413</f>
        <v>21.507196287961904</v>
      </c>
      <c r="D9">
        <f t="shared" ref="D9:I9" si="1">E9/0.9413</f>
        <v>20.244723865858539</v>
      </c>
      <c r="E9">
        <f t="shared" si="1"/>
        <v>19.056358574932645</v>
      </c>
      <c r="F9">
        <f t="shared" si="1"/>
        <v>17.937750326584098</v>
      </c>
      <c r="G9">
        <f t="shared" si="1"/>
        <v>16.884804382413613</v>
      </c>
      <c r="H9">
        <f t="shared" si="1"/>
        <v>15.893666365165933</v>
      </c>
      <c r="I9">
        <f t="shared" si="1"/>
        <v>14.960708149530692</v>
      </c>
      <c r="J9">
        <v>14.082514581153241</v>
      </c>
      <c r="K9">
        <v>13.259303782646375</v>
      </c>
      <c r="L9">
        <v>11.687515825698675</v>
      </c>
      <c r="M9">
        <v>12.834842405292004</v>
      </c>
      <c r="N9">
        <v>14.715943318395707</v>
      </c>
      <c r="O9">
        <v>14.892364297402139</v>
      </c>
      <c r="P9">
        <v>14.347109316663472</v>
      </c>
      <c r="Q9">
        <v>15.761030331691138</v>
      </c>
      <c r="R9">
        <v>14.393963933013781</v>
      </c>
      <c r="S9">
        <v>13.353181426945183</v>
      </c>
      <c r="T9">
        <v>15.184856960840925</v>
      </c>
      <c r="U9">
        <v>16.587065472934761</v>
      </c>
      <c r="V9">
        <v>16.677622662803508</v>
      </c>
      <c r="W9">
        <v>16.442596894578951</v>
      </c>
      <c r="X9">
        <v>16.780410676455617</v>
      </c>
      <c r="Y9">
        <v>17.118224458332282</v>
      </c>
    </row>
    <row r="10" spans="1:25" x14ac:dyDescent="0.35">
      <c r="A10" t="s">
        <v>5</v>
      </c>
      <c r="B10" t="s">
        <v>20</v>
      </c>
      <c r="C10">
        <v>28.703382158726072</v>
      </c>
      <c r="D10">
        <v>29.24667572350171</v>
      </c>
      <c r="E10">
        <v>15.532811830744606</v>
      </c>
      <c r="F10">
        <v>17.171580357277229</v>
      </c>
      <c r="G10">
        <v>18.074570117164768</v>
      </c>
      <c r="H10">
        <v>17.109117812082602</v>
      </c>
      <c r="I10">
        <v>23.385169992982977</v>
      </c>
      <c r="J10">
        <v>21.499160563565962</v>
      </c>
      <c r="K10">
        <v>25.650149856555871</v>
      </c>
      <c r="L10">
        <v>18.361079231124652</v>
      </c>
      <c r="M10">
        <v>16.599947206125023</v>
      </c>
      <c r="N10">
        <v>16.103412436712823</v>
      </c>
      <c r="O10">
        <v>14.822719111325608</v>
      </c>
      <c r="P10">
        <v>14.18476265713902</v>
      </c>
      <c r="Q10">
        <v>13.542630162126212</v>
      </c>
      <c r="R10">
        <v>11.002019017930307</v>
      </c>
      <c r="S10">
        <v>9.7325124835278753</v>
      </c>
      <c r="T10">
        <v>9.2237775021080033</v>
      </c>
      <c r="U10">
        <v>9.6447785034135656</v>
      </c>
      <c r="V10">
        <v>10.090385804430989</v>
      </c>
      <c r="W10">
        <v>10.523689955592483</v>
      </c>
      <c r="X10">
        <v>10.956994106753974</v>
      </c>
      <c r="Y10">
        <v>11.390298257915468</v>
      </c>
    </row>
    <row r="13" spans="1:25" x14ac:dyDescent="0.35">
      <c r="N13">
        <v>17.72</v>
      </c>
    </row>
    <row r="14" spans="1:25" x14ac:dyDescent="0.35">
      <c r="A14" t="s">
        <v>21</v>
      </c>
      <c r="L14">
        <v>29.8</v>
      </c>
      <c r="N14">
        <v>23</v>
      </c>
    </row>
    <row r="15" spans="1:25" x14ac:dyDescent="0.35">
      <c r="A15" t="s">
        <v>22</v>
      </c>
      <c r="L15">
        <v>24.52</v>
      </c>
      <c r="N15">
        <v>28.28</v>
      </c>
    </row>
    <row r="16" spans="1:25" x14ac:dyDescent="0.35">
      <c r="L16">
        <v>19.240000000000002</v>
      </c>
      <c r="N16">
        <v>28.76</v>
      </c>
    </row>
    <row r="17" spans="12:14" x14ac:dyDescent="0.35">
      <c r="L17">
        <v>13.96</v>
      </c>
      <c r="N17">
        <v>29.240000000000002</v>
      </c>
    </row>
    <row r="18" spans="12:14" x14ac:dyDescent="0.35">
      <c r="L18">
        <v>8.68</v>
      </c>
      <c r="N18">
        <v>29.720000000000002</v>
      </c>
    </row>
    <row r="19" spans="12:14" x14ac:dyDescent="0.35">
      <c r="L19">
        <v>29.8</v>
      </c>
      <c r="N19">
        <v>30.200000000000003</v>
      </c>
    </row>
    <row r="20" spans="12:14" x14ac:dyDescent="0.35">
      <c r="L20">
        <v>26.78</v>
      </c>
    </row>
    <row r="21" spans="12:14" x14ac:dyDescent="0.35">
      <c r="L21">
        <v>23.76</v>
      </c>
    </row>
    <row r="22" spans="12:14" x14ac:dyDescent="0.35">
      <c r="L22">
        <v>20.740000000000002</v>
      </c>
    </row>
    <row r="23" spans="12:14" x14ac:dyDescent="0.35">
      <c r="L23">
        <v>17.72</v>
      </c>
    </row>
    <row r="24" spans="12:14" x14ac:dyDescent="0.35">
      <c r="L24">
        <v>23</v>
      </c>
    </row>
    <row r="25" spans="12:14" x14ac:dyDescent="0.35">
      <c r="L25">
        <v>28.28</v>
      </c>
    </row>
    <row r="26" spans="12:14" x14ac:dyDescent="0.35">
      <c r="L26">
        <v>33.56</v>
      </c>
    </row>
    <row r="27" spans="12:14" x14ac:dyDescent="0.35">
      <c r="L27">
        <v>-38.840000000000003</v>
      </c>
    </row>
    <row r="28" spans="12:14" x14ac:dyDescent="0.35">
      <c r="L28">
        <v>-44.120000000000005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39"/>
  <sheetViews>
    <sheetView tabSelected="1" zoomScale="148" zoomScaleNormal="100" workbookViewId="0">
      <pane xSplit="3" ySplit="1" topLeftCell="W200" activePane="bottomRight" state="frozen"/>
      <selection pane="topRight" activeCell="D1" sqref="D1"/>
      <selection pane="bottomLeft" activeCell="A3" sqref="A3"/>
      <selection pane="bottomRight" activeCell="AA2" sqref="A1:AC208"/>
    </sheetView>
  </sheetViews>
  <sheetFormatPr defaultColWidth="9.1796875" defaultRowHeight="14.5" x14ac:dyDescent="0.35"/>
  <cols>
    <col min="1" max="1" width="13.81640625" style="12" bestFit="1" customWidth="1"/>
    <col min="2" max="2" width="4.54296875" style="12" customWidth="1"/>
    <col min="3" max="3" width="5.54296875" style="12" bestFit="1" customWidth="1"/>
    <col min="4" max="4" width="12.54296875" style="8" bestFit="1" customWidth="1"/>
    <col min="5" max="5" width="15.7265625" style="8" bestFit="1" customWidth="1"/>
    <col min="6" max="6" width="10.453125" style="9" bestFit="1" customWidth="1"/>
    <col min="7" max="7" width="18.7265625" style="6" bestFit="1" customWidth="1"/>
    <col min="8" max="8" width="17.7265625" style="8" bestFit="1" customWidth="1"/>
    <col min="9" max="9" width="18.453125" style="8" bestFit="1" customWidth="1"/>
    <col min="10" max="10" width="17.453125" style="8" bestFit="1" customWidth="1"/>
    <col min="11" max="11" width="9.81640625" style="8" bestFit="1" customWidth="1"/>
    <col min="12" max="12" width="10.453125" style="8" bestFit="1" customWidth="1"/>
    <col min="13" max="13" width="9.81640625" style="8" bestFit="1" customWidth="1"/>
    <col min="14" max="14" width="12.453125" style="8" bestFit="1" customWidth="1"/>
    <col min="15" max="15" width="8.26953125" style="8" bestFit="1" customWidth="1"/>
    <col min="16" max="16" width="17.81640625" style="8" customWidth="1"/>
    <col min="17" max="17" width="8.26953125" style="8" bestFit="1" customWidth="1"/>
    <col min="18" max="18" width="7.81640625" style="8" bestFit="1" customWidth="1"/>
    <col min="19" max="19" width="16" style="8" bestFit="1" customWidth="1"/>
    <col min="20" max="20" width="18.26953125" style="8" bestFit="1" customWidth="1"/>
    <col min="21" max="21" width="15.54296875" style="8" bestFit="1" customWidth="1"/>
    <col min="22" max="22" width="19.453125" style="8" bestFit="1" customWidth="1"/>
    <col min="23" max="23" width="16.453125" style="8" bestFit="1" customWidth="1"/>
    <col min="24" max="24" width="10.453125" style="8" customWidth="1"/>
    <col min="25" max="25" width="10.1796875" style="8" bestFit="1" customWidth="1"/>
    <col min="26" max="26" width="10.81640625" style="8" bestFit="1" customWidth="1"/>
    <col min="27" max="27" width="14.81640625" style="8" bestFit="1" customWidth="1"/>
    <col min="28" max="31" width="9.26953125" style="8" bestFit="1" customWidth="1"/>
    <col min="32" max="36" width="9.26953125" style="12" bestFit="1" customWidth="1"/>
    <col min="37" max="50" width="9.26953125" style="7" bestFit="1" customWidth="1"/>
    <col min="51" max="16384" width="9.1796875" style="7"/>
  </cols>
  <sheetData>
    <row r="1" spans="1:55" s="1" customFormat="1" x14ac:dyDescent="0.35">
      <c r="A1" s="19" t="s">
        <v>0</v>
      </c>
      <c r="B1" s="20" t="s">
        <v>1</v>
      </c>
      <c r="C1" s="20" t="s">
        <v>2</v>
      </c>
      <c r="D1" s="2" t="s">
        <v>241</v>
      </c>
      <c r="E1" s="2" t="s">
        <v>242</v>
      </c>
      <c r="F1" s="3" t="s">
        <v>3</v>
      </c>
      <c r="G1" s="4" t="s">
        <v>4</v>
      </c>
      <c r="H1" s="5" t="s">
        <v>238</v>
      </c>
      <c r="I1" s="2" t="s">
        <v>239</v>
      </c>
      <c r="J1" s="2" t="s">
        <v>240</v>
      </c>
      <c r="K1" s="2" t="s">
        <v>14</v>
      </c>
      <c r="L1" s="2" t="s">
        <v>243</v>
      </c>
      <c r="M1" s="2" t="s">
        <v>244</v>
      </c>
      <c r="N1" s="2" t="s">
        <v>245</v>
      </c>
      <c r="O1" s="2" t="s">
        <v>246</v>
      </c>
      <c r="P1" s="2" t="s">
        <v>247</v>
      </c>
      <c r="Q1" s="2" t="s">
        <v>248</v>
      </c>
      <c r="R1" s="2" t="s">
        <v>249</v>
      </c>
      <c r="S1" s="2" t="s">
        <v>250</v>
      </c>
      <c r="T1" s="2" t="s">
        <v>251</v>
      </c>
      <c r="U1" s="2" t="s">
        <v>253</v>
      </c>
      <c r="V1" s="2" t="s">
        <v>252</v>
      </c>
      <c r="W1" s="2" t="s">
        <v>233</v>
      </c>
      <c r="X1" s="2" t="s">
        <v>234</v>
      </c>
      <c r="Y1" s="2" t="s">
        <v>235</v>
      </c>
      <c r="Z1" s="2" t="s">
        <v>236</v>
      </c>
      <c r="AA1" s="2" t="s">
        <v>237</v>
      </c>
      <c r="AB1" s="2" t="s">
        <v>254</v>
      </c>
      <c r="AC1" s="2" t="s">
        <v>255</v>
      </c>
      <c r="AD1" s="2"/>
      <c r="AE1" s="2"/>
      <c r="AF1" s="19"/>
      <c r="AG1" s="19"/>
      <c r="AH1" s="19"/>
      <c r="AI1" s="19"/>
      <c r="AJ1" s="19"/>
    </row>
    <row r="2" spans="1:55" x14ac:dyDescent="0.35">
      <c r="A2" s="12" t="s">
        <v>5</v>
      </c>
      <c r="B2" s="13">
        <v>1</v>
      </c>
      <c r="C2" s="13">
        <v>2000</v>
      </c>
      <c r="D2" s="16">
        <v>3.0546242343078518</v>
      </c>
      <c r="E2" s="16">
        <v>-0.2349456327227557</v>
      </c>
      <c r="F2" s="21">
        <v>268.35000000000002</v>
      </c>
      <c r="G2" s="15">
        <v>104.542</v>
      </c>
      <c r="H2" s="22">
        <v>2.8</v>
      </c>
      <c r="I2" s="16">
        <v>0.17840929999999999</v>
      </c>
      <c r="J2" s="16">
        <v>1.9665398257043771</v>
      </c>
      <c r="K2" s="16">
        <v>-60.781327038799546</v>
      </c>
      <c r="L2" s="16">
        <v>103.16017416666701</v>
      </c>
      <c r="M2" s="16">
        <v>39.578400000000002</v>
      </c>
      <c r="N2" s="16">
        <v>63.581774166667003</v>
      </c>
      <c r="O2" s="16">
        <f>O3/1.2</f>
        <v>0.83057175925925941</v>
      </c>
      <c r="P2" s="16">
        <v>14.1069</v>
      </c>
      <c r="Q2" s="16">
        <f>Q3/1.27</f>
        <v>0.88984313968627926</v>
      </c>
      <c r="R2" s="16">
        <f>R3/1.3</f>
        <v>8.0764733727810647</v>
      </c>
      <c r="S2" s="16">
        <v>13.94027</v>
      </c>
      <c r="T2" s="16">
        <f>T3/1.11</f>
        <v>82.933162162162148</v>
      </c>
      <c r="U2" s="16">
        <v>17.280560000000001</v>
      </c>
      <c r="V2" s="16"/>
      <c r="W2" s="16">
        <v>8.715063656257179</v>
      </c>
      <c r="X2" s="16">
        <v>2.448</v>
      </c>
      <c r="Y2" s="16">
        <v>89.685831185138227</v>
      </c>
      <c r="Z2" s="16">
        <v>62.861278269720209</v>
      </c>
      <c r="AA2" s="16">
        <v>28.703382158726072</v>
      </c>
      <c r="AB2" s="16">
        <v>52.42</v>
      </c>
      <c r="AC2" s="16">
        <f>Y2-Z2</f>
        <v>26.824552915418018</v>
      </c>
    </row>
    <row r="3" spans="1:55" x14ac:dyDescent="0.35">
      <c r="A3" s="12" t="s">
        <v>5</v>
      </c>
      <c r="B3" s="13">
        <v>1</v>
      </c>
      <c r="C3" s="13">
        <v>2001</v>
      </c>
      <c r="D3" s="16">
        <v>4.2059985561950981</v>
      </c>
      <c r="E3" s="16">
        <v>0.83822732204326655</v>
      </c>
      <c r="F3" s="21">
        <v>116.068</v>
      </c>
      <c r="G3" s="15">
        <v>102.053</v>
      </c>
      <c r="H3" s="22">
        <v>3.8849999999999998</v>
      </c>
      <c r="I3" s="16">
        <v>0.27431840000000002</v>
      </c>
      <c r="J3" s="16">
        <v>3.6183742806533177</v>
      </c>
      <c r="K3" s="16">
        <v>-5.032933216888333</v>
      </c>
      <c r="L3" s="16">
        <v>95.966560833333304</v>
      </c>
      <c r="M3" s="16">
        <v>47.908791666666701</v>
      </c>
      <c r="N3" s="16">
        <v>48.057769166666603</v>
      </c>
      <c r="O3" s="16">
        <f>O4/1.2</f>
        <v>0.99668611111111127</v>
      </c>
      <c r="P3" s="16">
        <v>21.438770000000002</v>
      </c>
      <c r="Q3" s="16">
        <f>Q4/1.27</f>
        <v>1.1301007874015747</v>
      </c>
      <c r="R3" s="16">
        <f>R4/1.3</f>
        <v>10.499415384615384</v>
      </c>
      <c r="S3" s="16">
        <v>16.816199999999998</v>
      </c>
      <c r="T3" s="16">
        <v>92.055809999999994</v>
      </c>
      <c r="U3" s="16">
        <v>20.992529999999999</v>
      </c>
      <c r="V3" s="16">
        <v>24.00029061447221</v>
      </c>
      <c r="W3" s="16">
        <v>-16.012951088770063</v>
      </c>
      <c r="X3" s="16">
        <v>4.9390000000000001</v>
      </c>
      <c r="Y3" s="16">
        <v>75.388943731140046</v>
      </c>
      <c r="Z3" s="16">
        <v>74.946850958953036</v>
      </c>
      <c r="AA3" s="16">
        <v>29.24667572350171</v>
      </c>
      <c r="AB3" s="16">
        <v>45.822000000000003</v>
      </c>
      <c r="AC3" s="16">
        <f t="shared" ref="AC3:AC66" si="0">Y3-Z3</f>
        <v>0.44209277218701004</v>
      </c>
    </row>
    <row r="4" spans="1:55" x14ac:dyDescent="0.35">
      <c r="A4" s="12" t="s">
        <v>5</v>
      </c>
      <c r="B4" s="13">
        <v>1</v>
      </c>
      <c r="C4" s="13">
        <v>2002</v>
      </c>
      <c r="D4" s="16">
        <v>13.66568876085617</v>
      </c>
      <c r="E4" s="16">
        <v>9.9373072488730116</v>
      </c>
      <c r="F4" s="21">
        <v>105.59</v>
      </c>
      <c r="G4" s="15">
        <v>70.947999999999993</v>
      </c>
      <c r="H4" s="22">
        <v>-3.11</v>
      </c>
      <c r="I4" s="16">
        <v>0.46322970000000002</v>
      </c>
      <c r="J4" s="16">
        <v>3.4351143681925502</v>
      </c>
      <c r="K4" s="16">
        <v>-33.553401097210774</v>
      </c>
      <c r="L4" s="16">
        <v>97.335833333333298</v>
      </c>
      <c r="M4" s="16">
        <v>48.690833333333302</v>
      </c>
      <c r="N4" s="16">
        <v>48.644999999999996</v>
      </c>
      <c r="O4" s="16">
        <f>Q4/1.2</f>
        <v>1.1960233333333334</v>
      </c>
      <c r="P4" s="16">
        <v>26.586729999999999</v>
      </c>
      <c r="Q4" s="16">
        <v>1.4352279999999999</v>
      </c>
      <c r="R4" s="16">
        <v>13.649240000000001</v>
      </c>
      <c r="S4" s="16">
        <v>12.916119999999999</v>
      </c>
      <c r="T4" s="16">
        <v>82.038020000000003</v>
      </c>
      <c r="U4" s="16">
        <v>16.07836</v>
      </c>
      <c r="V4" s="16">
        <v>19.714108299659504</v>
      </c>
      <c r="W4" s="16">
        <v>-0.98192716692853377</v>
      </c>
      <c r="X4" s="16">
        <v>11.811999999999999</v>
      </c>
      <c r="Y4" s="16">
        <v>57.084995904626645</v>
      </c>
      <c r="Z4" s="16">
        <v>48.21659640659167</v>
      </c>
      <c r="AA4" s="16">
        <v>15.532811830744606</v>
      </c>
      <c r="AB4" s="16">
        <v>35.079000000000001</v>
      </c>
      <c r="AC4" s="16">
        <f t="shared" si="0"/>
        <v>8.8683994980349752</v>
      </c>
    </row>
    <row r="5" spans="1:55" x14ac:dyDescent="0.35">
      <c r="A5" s="12" t="s">
        <v>5</v>
      </c>
      <c r="B5" s="13">
        <v>1</v>
      </c>
      <c r="C5" s="13">
        <v>2003</v>
      </c>
      <c r="D5" s="16">
        <v>2.9900000000000091</v>
      </c>
      <c r="E5" s="16">
        <v>-0.46606074802606656</v>
      </c>
      <c r="F5" s="21">
        <v>76.56</v>
      </c>
      <c r="G5" s="15">
        <v>68.691999999999993</v>
      </c>
      <c r="H5" s="22">
        <v>-5.8810000000000002</v>
      </c>
      <c r="I5" s="16">
        <v>1.5564579999999999</v>
      </c>
      <c r="J5" s="16">
        <v>3.9761349679889988</v>
      </c>
      <c r="K5" s="16">
        <v>1.1284854510530917</v>
      </c>
      <c r="L5" s="16">
        <v>96.114999999999995</v>
      </c>
      <c r="M5" s="16">
        <v>26.172499999999999</v>
      </c>
      <c r="N5" s="16">
        <v>69.942499999999995</v>
      </c>
      <c r="O5" s="16">
        <v>6.2537560000000001</v>
      </c>
      <c r="P5" s="16">
        <v>36.811500000000002</v>
      </c>
      <c r="Q5" s="16">
        <v>2.4773429999999999</v>
      </c>
      <c r="R5" s="16">
        <v>24.54316</v>
      </c>
      <c r="S5" s="16">
        <v>10.70298</v>
      </c>
      <c r="T5" s="16">
        <v>66.618049999999997</v>
      </c>
      <c r="U5" s="16">
        <v>13.388260000000001</v>
      </c>
      <c r="V5" s="16">
        <v>23.617149321598017</v>
      </c>
      <c r="W5" s="16">
        <v>-4.0395823969388776</v>
      </c>
      <c r="X5" s="16">
        <v>21.411999999999999</v>
      </c>
      <c r="Y5" s="16">
        <v>54.321338811383512</v>
      </c>
      <c r="Z5" s="16">
        <v>49.579890739988265</v>
      </c>
      <c r="AA5" s="16">
        <v>17.171580357277229</v>
      </c>
      <c r="AB5" s="16">
        <v>37.304000000000002</v>
      </c>
      <c r="AC5" s="16">
        <f t="shared" si="0"/>
        <v>4.7414480713952472</v>
      </c>
    </row>
    <row r="6" spans="1:55" x14ac:dyDescent="0.35">
      <c r="A6" s="12" t="s">
        <v>5</v>
      </c>
      <c r="B6" s="13">
        <v>1</v>
      </c>
      <c r="C6" s="13">
        <v>2004</v>
      </c>
      <c r="D6" s="16">
        <v>10.949999999999989</v>
      </c>
      <c r="E6" s="16">
        <v>7.1270765550812882</v>
      </c>
      <c r="F6" s="21">
        <v>31.013000000000002</v>
      </c>
      <c r="G6" s="15">
        <v>51.954000000000001</v>
      </c>
      <c r="H6" s="22">
        <v>1.419</v>
      </c>
      <c r="I6" s="16">
        <v>2.8371499999999998</v>
      </c>
      <c r="J6" s="16">
        <v>4.3990568557805538</v>
      </c>
      <c r="K6" s="16">
        <v>36.637631010914006</v>
      </c>
      <c r="L6" s="16">
        <v>82.334166666666704</v>
      </c>
      <c r="M6" s="16">
        <v>15.4393455269743</v>
      </c>
      <c r="N6" s="16">
        <v>66.894821139692397</v>
      </c>
      <c r="O6" s="16">
        <v>6.9911820000000002</v>
      </c>
      <c r="P6" s="16">
        <v>43.979689999999998</v>
      </c>
      <c r="Q6" s="16">
        <v>2.3507250000000002</v>
      </c>
      <c r="R6" s="16">
        <v>21.552499999999998</v>
      </c>
      <c r="S6" s="16">
        <v>9.946123</v>
      </c>
      <c r="T6" s="16">
        <v>59.5608</v>
      </c>
      <c r="U6" s="16">
        <v>12.386089999999999</v>
      </c>
      <c r="V6" s="16">
        <v>28.429413971060413</v>
      </c>
      <c r="W6" s="16">
        <v>2.8924761786131636</v>
      </c>
      <c r="X6" s="16">
        <v>29.131</v>
      </c>
      <c r="Y6" s="16">
        <v>58.380358319979308</v>
      </c>
      <c r="Z6" s="16">
        <v>45.199588731486692</v>
      </c>
      <c r="AA6" s="16">
        <v>18.074570117164768</v>
      </c>
      <c r="AB6" s="16">
        <v>37.156999999999996</v>
      </c>
      <c r="AC6" s="16">
        <f t="shared" si="0"/>
        <v>13.180769588492616</v>
      </c>
    </row>
    <row r="7" spans="1:55" x14ac:dyDescent="0.35">
      <c r="A7" s="12" t="s">
        <v>5</v>
      </c>
      <c r="B7" s="13">
        <v>1</v>
      </c>
      <c r="C7" s="13">
        <v>2005</v>
      </c>
      <c r="D7" s="16">
        <v>15.029999999999973</v>
      </c>
      <c r="E7" s="16">
        <v>11.009565582344777</v>
      </c>
      <c r="F7" s="21">
        <v>18.53</v>
      </c>
      <c r="G7" s="15">
        <v>35.737000000000002</v>
      </c>
      <c r="H7" s="22">
        <v>9.3889999999999993</v>
      </c>
      <c r="I7" s="16">
        <v>3.2748460000000001</v>
      </c>
      <c r="J7" s="16">
        <v>4.2035504413670512</v>
      </c>
      <c r="K7" s="16">
        <v>17.800888587954226</v>
      </c>
      <c r="L7" s="16">
        <v>67.718130736968405</v>
      </c>
      <c r="M7" s="16">
        <v>13.3984966156938</v>
      </c>
      <c r="N7" s="16">
        <v>54.319634121274603</v>
      </c>
      <c r="O7" s="16">
        <v>7.5606059999999999</v>
      </c>
      <c r="P7" s="16">
        <v>40.964260000000003</v>
      </c>
      <c r="Q7" s="16">
        <v>2.651338</v>
      </c>
      <c r="R7" s="16">
        <v>26.163180000000001</v>
      </c>
      <c r="S7" s="16">
        <v>10.236800000000001</v>
      </c>
      <c r="T7" s="16">
        <v>53.101709999999997</v>
      </c>
      <c r="U7" s="16">
        <v>12.1416</v>
      </c>
      <c r="V7" s="16">
        <v>41.792601151054143</v>
      </c>
      <c r="W7" s="16">
        <v>13.897098823692946</v>
      </c>
      <c r="X7" s="16">
        <v>35.790999999999997</v>
      </c>
      <c r="Y7" s="16">
        <v>65.526267769629143</v>
      </c>
      <c r="Z7" s="16">
        <v>41.064694359896123</v>
      </c>
      <c r="AA7" s="16">
        <v>17.109117812082602</v>
      </c>
      <c r="AB7" s="16">
        <v>44.125</v>
      </c>
      <c r="AC7" s="16">
        <f t="shared" si="0"/>
        <v>24.46157340973302</v>
      </c>
    </row>
    <row r="8" spans="1:55" x14ac:dyDescent="0.35">
      <c r="A8" s="12" t="s">
        <v>5</v>
      </c>
      <c r="B8" s="13">
        <v>1</v>
      </c>
      <c r="C8" s="13">
        <v>2006</v>
      </c>
      <c r="D8" s="16">
        <v>11.55000000000004</v>
      </c>
      <c r="E8" s="16">
        <v>7.6142192052113415</v>
      </c>
      <c r="F8" s="21">
        <v>12.207000000000001</v>
      </c>
      <c r="G8" s="15">
        <v>18.696999999999999</v>
      </c>
      <c r="H8" s="22">
        <v>11.811</v>
      </c>
      <c r="I8" s="16">
        <v>1.639996</v>
      </c>
      <c r="J8" s="16">
        <v>6.4255981082792806</v>
      </c>
      <c r="K8" s="16">
        <v>2.0451143809386276</v>
      </c>
      <c r="L8" s="16">
        <v>19.510814452791099</v>
      </c>
      <c r="M8" s="16">
        <v>4.5003292094954901</v>
      </c>
      <c r="N8" s="16">
        <v>15.010485243295609</v>
      </c>
      <c r="O8" s="16">
        <v>5.6953279999999999</v>
      </c>
      <c r="P8" s="16">
        <v>49.779110000000003</v>
      </c>
      <c r="Q8" s="16">
        <v>2.7608480000000002</v>
      </c>
      <c r="R8" s="16">
        <v>28.398700000000002</v>
      </c>
      <c r="S8" s="16">
        <v>12.89404</v>
      </c>
      <c r="T8" s="16">
        <v>39.933160000000001</v>
      </c>
      <c r="U8" s="16">
        <v>14.62271</v>
      </c>
      <c r="V8" s="16">
        <v>36.454898412070719</v>
      </c>
      <c r="W8" s="16">
        <v>20.407807816165079</v>
      </c>
      <c r="X8" s="16">
        <v>39.253</v>
      </c>
      <c r="Y8" s="16">
        <v>63.467863503922551</v>
      </c>
      <c r="Z8" s="16">
        <v>31.157295828125196</v>
      </c>
      <c r="AA8" s="16">
        <v>23.385169992982977</v>
      </c>
      <c r="AB8" s="16">
        <v>50.171999999999997</v>
      </c>
      <c r="AC8" s="16">
        <f t="shared" si="0"/>
        <v>32.310567675797358</v>
      </c>
    </row>
    <row r="9" spans="1:55" x14ac:dyDescent="0.35">
      <c r="A9" s="12" t="s">
        <v>5</v>
      </c>
      <c r="B9" s="13">
        <v>1</v>
      </c>
      <c r="C9" s="13">
        <v>2007</v>
      </c>
      <c r="D9" s="16">
        <v>14.010000000000062</v>
      </c>
      <c r="E9" s="16">
        <v>9.9351086989167783</v>
      </c>
      <c r="F9" s="21">
        <v>11.776</v>
      </c>
      <c r="G9" s="15">
        <v>16.065999999999999</v>
      </c>
      <c r="H9" s="22">
        <v>4.6559999999999997</v>
      </c>
      <c r="I9" s="16">
        <v>4.0796140000000003</v>
      </c>
      <c r="J9" s="16">
        <v>9.774760801036086</v>
      </c>
      <c r="K9" s="16">
        <v>12.837316308632699</v>
      </c>
      <c r="L9" s="16">
        <v>17.698835600595501</v>
      </c>
      <c r="M9" s="16">
        <v>6.7564336854282097</v>
      </c>
      <c r="N9" s="16">
        <v>10.942401915167292</v>
      </c>
      <c r="O9" s="16">
        <v>6.8080309999999997</v>
      </c>
      <c r="P9" s="16">
        <v>62.48415</v>
      </c>
      <c r="Q9" s="16">
        <v>3.0577969999999999</v>
      </c>
      <c r="R9" s="16">
        <v>31.703309999999998</v>
      </c>
      <c r="S9" s="16">
        <v>15.267300000000001</v>
      </c>
      <c r="T9" s="16">
        <v>29.190449999999998</v>
      </c>
      <c r="U9" s="16">
        <v>17.03642</v>
      </c>
      <c r="V9" s="16">
        <v>47.764572169666152</v>
      </c>
      <c r="W9" s="16">
        <v>16.212397433293283</v>
      </c>
      <c r="X9" s="16">
        <v>43.058999999999997</v>
      </c>
      <c r="Y9" s="16">
        <v>67.905783372467084</v>
      </c>
      <c r="Z9" s="16">
        <v>40.154284521511244</v>
      </c>
      <c r="AA9" s="16">
        <v>21.499160563565962</v>
      </c>
      <c r="AB9" s="16">
        <v>45.823</v>
      </c>
      <c r="AC9" s="16">
        <f t="shared" si="0"/>
        <v>27.751498850955841</v>
      </c>
    </row>
    <row r="10" spans="1:55" x14ac:dyDescent="0.35">
      <c r="A10" s="12" t="s">
        <v>5</v>
      </c>
      <c r="B10" s="13">
        <v>1</v>
      </c>
      <c r="C10" s="13">
        <v>2008</v>
      </c>
      <c r="D10" s="16">
        <v>11.169999999999973</v>
      </c>
      <c r="E10" s="16">
        <v>7.1630460177021718</v>
      </c>
      <c r="F10" s="21">
        <v>13.17</v>
      </c>
      <c r="G10" s="15">
        <v>16.646999999999998</v>
      </c>
      <c r="H10" s="22">
        <v>-4.4550000000000001</v>
      </c>
      <c r="I10" s="16">
        <v>12.97667</v>
      </c>
      <c r="J10" s="16">
        <v>12.010447818720607</v>
      </c>
      <c r="K10" s="16">
        <v>-5.7237243028610987</v>
      </c>
      <c r="L10" s="16">
        <v>12.533605759663001</v>
      </c>
      <c r="M10" s="16">
        <v>6.5380776006428603</v>
      </c>
      <c r="N10" s="16">
        <v>5.9955281590201404</v>
      </c>
      <c r="O10" s="16">
        <v>6.5543519999999997</v>
      </c>
      <c r="P10" s="16">
        <v>61.466160000000002</v>
      </c>
      <c r="Q10" s="16">
        <v>3.5890460000000002</v>
      </c>
      <c r="R10" s="16">
        <v>41.595979999999997</v>
      </c>
      <c r="S10" s="16">
        <v>19.407540000000001</v>
      </c>
      <c r="T10" s="16">
        <v>53.538209999999999</v>
      </c>
      <c r="U10" s="16">
        <v>21.331710000000001</v>
      </c>
      <c r="V10" s="16">
        <v>37.065250639506431</v>
      </c>
      <c r="W10" s="16">
        <v>8.1255426226536134</v>
      </c>
      <c r="X10" s="16">
        <v>50.542999999999999</v>
      </c>
      <c r="Y10" s="16">
        <v>72.475028799463161</v>
      </c>
      <c r="Z10" s="16">
        <v>48.88967965423484</v>
      </c>
      <c r="AA10" s="16">
        <v>25.650149856555871</v>
      </c>
      <c r="AB10" s="16">
        <v>50.94</v>
      </c>
      <c r="AC10" s="16">
        <f t="shared" si="0"/>
        <v>23.585349145228321</v>
      </c>
    </row>
    <row r="11" spans="1:55" s="10" customFormat="1" x14ac:dyDescent="0.35">
      <c r="A11" s="12" t="s">
        <v>5</v>
      </c>
      <c r="B11" s="13">
        <v>1</v>
      </c>
      <c r="C11" s="13">
        <v>2009</v>
      </c>
      <c r="D11" s="16">
        <v>0.86000000000028365</v>
      </c>
      <c r="E11" s="16">
        <v>-2.7972899856286233</v>
      </c>
      <c r="F11" s="21">
        <v>13.987</v>
      </c>
      <c r="G11" s="15">
        <v>22.71</v>
      </c>
      <c r="H11" s="22">
        <v>-7.3550000000000004</v>
      </c>
      <c r="I11" s="16">
        <v>17.322299999999998</v>
      </c>
      <c r="J11" s="16">
        <v>22.995823394009619</v>
      </c>
      <c r="K11" s="16">
        <v>38.977713550330179</v>
      </c>
      <c r="L11" s="16">
        <v>15.682074235437</v>
      </c>
      <c r="M11" s="16">
        <v>7.5893666075756299</v>
      </c>
      <c r="N11" s="16">
        <v>8.092707627861369</v>
      </c>
      <c r="O11" s="16">
        <v>5.5598340000000004</v>
      </c>
      <c r="P11" s="16">
        <v>59.336150000000004</v>
      </c>
      <c r="Q11" s="16">
        <v>3.603237</v>
      </c>
      <c r="R11" s="16">
        <v>39.07855</v>
      </c>
      <c r="S11" s="16">
        <v>38.228920000000002</v>
      </c>
      <c r="T11" s="16">
        <v>32.00985</v>
      </c>
      <c r="U11" s="16">
        <v>41.307139999999997</v>
      </c>
      <c r="V11" s="16">
        <v>37.447741091668824</v>
      </c>
      <c r="W11" s="16">
        <v>-10.76938368344439</v>
      </c>
      <c r="X11" s="16">
        <v>46.44</v>
      </c>
      <c r="Y11" s="16">
        <v>58.757300297758377</v>
      </c>
      <c r="Z11" s="16">
        <v>63.688825911845804</v>
      </c>
      <c r="AA11" s="16">
        <v>18.361079231124652</v>
      </c>
      <c r="AB11" s="16">
        <v>34.561</v>
      </c>
      <c r="AC11" s="16">
        <f t="shared" si="0"/>
        <v>-4.9315256140874268</v>
      </c>
      <c r="AD11" s="8"/>
      <c r="AE11" s="8"/>
      <c r="AF11" s="12"/>
      <c r="AG11" s="12"/>
      <c r="AH11" s="12"/>
      <c r="AI11" s="12"/>
      <c r="AJ11" s="12"/>
      <c r="AK11" s="7"/>
      <c r="AL11" s="7"/>
      <c r="AM11" s="7"/>
      <c r="AN11" s="7"/>
      <c r="AO11" s="7"/>
      <c r="AP11" s="7"/>
      <c r="AQ11" s="7"/>
      <c r="AR11" s="7"/>
      <c r="AS11" s="7"/>
      <c r="AT11" s="7"/>
      <c r="AU11" s="7"/>
      <c r="AV11" s="7"/>
      <c r="AW11" s="7"/>
      <c r="AX11" s="7"/>
      <c r="AY11" s="7"/>
      <c r="AZ11" s="7"/>
      <c r="BA11" s="7"/>
      <c r="BB11" s="7"/>
      <c r="BC11" s="7"/>
    </row>
    <row r="12" spans="1:55" s="10" customFormat="1" x14ac:dyDescent="0.35">
      <c r="A12" s="12" t="s">
        <v>5</v>
      </c>
      <c r="B12" s="13">
        <v>1</v>
      </c>
      <c r="C12" s="13">
        <v>2010</v>
      </c>
      <c r="D12" s="16">
        <v>4.3983759378180025</v>
      </c>
      <c r="E12" s="16">
        <v>0.57122094084820674</v>
      </c>
      <c r="F12" s="21">
        <v>15.321999999999999</v>
      </c>
      <c r="G12" s="15">
        <v>44.290999999999997</v>
      </c>
      <c r="H12" s="22">
        <v>3.45</v>
      </c>
      <c r="I12" s="16">
        <v>9.4376689999999996</v>
      </c>
      <c r="J12" s="16">
        <v>19.55293145881253</v>
      </c>
      <c r="K12" s="16">
        <v>-7.353793454569395</v>
      </c>
      <c r="L12" s="16">
        <v>22.543572022126899</v>
      </c>
      <c r="M12" s="16">
        <v>12.7562991888339</v>
      </c>
      <c r="N12" s="16">
        <v>9.7872728332929988</v>
      </c>
      <c r="O12" s="16">
        <v>7.2218999999999998</v>
      </c>
      <c r="P12" s="16">
        <v>65.947789999999998</v>
      </c>
      <c r="Q12" s="30">
        <v>3.5782188034886047</v>
      </c>
      <c r="R12" s="30">
        <v>32.770045939722934</v>
      </c>
      <c r="S12" s="16">
        <v>31.10098</v>
      </c>
      <c r="T12" s="16">
        <v>44.151759785407698</v>
      </c>
      <c r="U12" s="16">
        <v>37.348374999999997</v>
      </c>
      <c r="V12" s="16">
        <v>48.556127165779131</v>
      </c>
      <c r="W12" s="16">
        <v>9.1872676888698468</v>
      </c>
      <c r="X12" s="16">
        <v>56.154000000000003</v>
      </c>
      <c r="Y12" s="16">
        <v>61.543115885152424</v>
      </c>
      <c r="Z12" s="16">
        <v>42.580532407921368</v>
      </c>
      <c r="AA12" s="16">
        <v>16.599947206125002</v>
      </c>
      <c r="AB12" s="16">
        <v>43.478999999999999</v>
      </c>
      <c r="AC12" s="16">
        <f t="shared" si="0"/>
        <v>18.962583477231057</v>
      </c>
      <c r="AD12" s="8"/>
      <c r="AE12" s="8"/>
      <c r="AF12" s="12"/>
      <c r="AG12" s="12"/>
      <c r="AH12" s="12"/>
      <c r="AI12" s="12"/>
      <c r="AJ12" s="12"/>
      <c r="AK12" s="7"/>
      <c r="AL12" s="7"/>
      <c r="AM12" s="7"/>
      <c r="AN12" s="7"/>
      <c r="AO12" s="7"/>
      <c r="AP12" s="7"/>
      <c r="AQ12" s="7"/>
      <c r="AR12" s="7"/>
      <c r="AS12" s="7"/>
      <c r="AT12" s="7"/>
      <c r="AU12" s="7"/>
      <c r="AV12" s="7"/>
      <c r="AW12" s="7"/>
      <c r="AX12" s="7"/>
      <c r="AY12" s="7"/>
      <c r="AZ12" s="7"/>
      <c r="BA12" s="7"/>
      <c r="BB12" s="7"/>
      <c r="BC12" s="7"/>
    </row>
    <row r="13" spans="1:55" s="10" customFormat="1" x14ac:dyDescent="0.35">
      <c r="A13" s="12" t="s">
        <v>5</v>
      </c>
      <c r="B13" s="13">
        <v>1</v>
      </c>
      <c r="C13" s="13">
        <v>2011</v>
      </c>
      <c r="D13" s="16">
        <v>3.472053147981029</v>
      </c>
      <c r="E13" s="16">
        <v>-0.34506243533569148</v>
      </c>
      <c r="F13" s="21">
        <v>11.375999999999999</v>
      </c>
      <c r="G13" s="15">
        <v>33.801000000000002</v>
      </c>
      <c r="H13" s="22">
        <v>8.6769999999999996</v>
      </c>
      <c r="I13" s="16">
        <v>8.7886989999999994</v>
      </c>
      <c r="J13" s="16">
        <v>18.785108041901953</v>
      </c>
      <c r="K13" s="16">
        <v>-9.876356840795296</v>
      </c>
      <c r="L13" s="16">
        <v>18.757240536575701</v>
      </c>
      <c r="M13" s="16">
        <v>6.3092316602760903</v>
      </c>
      <c r="N13" s="16">
        <v>12.44800887629961</v>
      </c>
      <c r="O13" s="16">
        <v>6.9751989999999999</v>
      </c>
      <c r="P13" s="16">
        <v>62.653590000000001</v>
      </c>
      <c r="Q13" s="30">
        <v>3.2764069174460215</v>
      </c>
      <c r="R13" s="30">
        <v>29.055303735406984</v>
      </c>
      <c r="S13" s="16">
        <v>31.370270000000001</v>
      </c>
      <c r="T13" s="16">
        <v>46.677914387877081</v>
      </c>
      <c r="U13" s="16">
        <v>33.389609999999998</v>
      </c>
      <c r="V13" s="16">
        <v>38.510602280556569</v>
      </c>
      <c r="W13" s="16">
        <v>11.956365756782867</v>
      </c>
      <c r="X13" s="16">
        <v>68.314999999999998</v>
      </c>
      <c r="Y13" s="16">
        <v>60.66994751518483</v>
      </c>
      <c r="Z13" s="16">
        <v>39.31255881615192</v>
      </c>
      <c r="AA13" s="16">
        <v>16.103412436712823</v>
      </c>
      <c r="AB13" s="16">
        <v>48.835000000000001</v>
      </c>
      <c r="AC13" s="16">
        <f t="shared" si="0"/>
        <v>21.35738869903291</v>
      </c>
      <c r="AD13" s="8"/>
      <c r="AE13" s="8"/>
      <c r="AF13" s="12"/>
      <c r="AG13" s="12"/>
      <c r="AH13" s="12"/>
      <c r="AI13" s="12"/>
      <c r="AJ13" s="12"/>
      <c r="AK13" s="7"/>
      <c r="AL13" s="7"/>
      <c r="AM13" s="7"/>
      <c r="AN13" s="7"/>
      <c r="AO13" s="7"/>
      <c r="AP13" s="7"/>
      <c r="AQ13" s="7"/>
      <c r="AR13" s="7"/>
      <c r="AS13" s="7"/>
      <c r="AT13" s="7"/>
      <c r="AU13" s="7"/>
      <c r="AV13" s="7"/>
      <c r="AW13" s="7"/>
      <c r="AX13" s="7"/>
      <c r="AY13" s="7"/>
      <c r="AZ13" s="7"/>
      <c r="BA13" s="7"/>
      <c r="BB13" s="7"/>
      <c r="BC13" s="7"/>
    </row>
    <row r="14" spans="1:55" s="10" customFormat="1" x14ac:dyDescent="0.35">
      <c r="A14" s="12" t="s">
        <v>5</v>
      </c>
      <c r="B14" s="13">
        <v>1</v>
      </c>
      <c r="C14" s="13">
        <v>2012</v>
      </c>
      <c r="D14" s="16">
        <v>8.5421070758414146</v>
      </c>
      <c r="E14" s="16">
        <v>4.5380537801738399</v>
      </c>
      <c r="F14" s="21">
        <v>9.0419999999999998</v>
      </c>
      <c r="G14" s="15">
        <v>29.486999999999998</v>
      </c>
      <c r="H14" s="22">
        <v>4.5860000000000003</v>
      </c>
      <c r="I14" s="16">
        <v>7.7318689999999997</v>
      </c>
      <c r="J14" s="16">
        <v>20.003682427961014</v>
      </c>
      <c r="K14" s="16">
        <v>8.764706246259454</v>
      </c>
      <c r="L14" s="16">
        <v>16.6564013212232</v>
      </c>
      <c r="M14" s="16">
        <v>3.60364026674955</v>
      </c>
      <c r="N14" s="16">
        <v>13.052761054473649</v>
      </c>
      <c r="O14" s="16">
        <v>5.1903410000000001</v>
      </c>
      <c r="P14" s="16">
        <v>72.171679999999995</v>
      </c>
      <c r="Q14" s="30">
        <v>2.1272924209715698</v>
      </c>
      <c r="R14" s="30">
        <v>18.245854872274446</v>
      </c>
      <c r="S14" s="16">
        <v>29.043340000000001</v>
      </c>
      <c r="T14" s="16">
        <v>46.712634166274228</v>
      </c>
      <c r="U14" s="16">
        <v>31.07845</v>
      </c>
      <c r="V14" s="16">
        <v>32.960179353262973</v>
      </c>
      <c r="W14" s="16">
        <v>11.073106637916061</v>
      </c>
      <c r="X14" s="16">
        <v>71.822000000000003</v>
      </c>
      <c r="Y14" s="16">
        <v>55.940130634481122</v>
      </c>
      <c r="Z14" s="16">
        <v>35.859966707430296</v>
      </c>
      <c r="AA14" s="16">
        <v>14.822719111325608</v>
      </c>
      <c r="AB14" s="16">
        <v>45.896000000000001</v>
      </c>
      <c r="AC14" s="16">
        <f t="shared" si="0"/>
        <v>20.080163927050826</v>
      </c>
      <c r="AD14" s="8"/>
      <c r="AE14" s="8"/>
      <c r="AF14" s="12"/>
      <c r="AG14" s="12"/>
      <c r="AH14" s="12"/>
      <c r="AI14" s="12"/>
      <c r="AJ14" s="12"/>
      <c r="AK14" s="7"/>
      <c r="AL14" s="7"/>
      <c r="AM14" s="7"/>
      <c r="AN14" s="7"/>
      <c r="AO14" s="7"/>
      <c r="AP14" s="7"/>
      <c r="AQ14" s="7"/>
      <c r="AR14" s="7"/>
      <c r="AS14" s="7"/>
      <c r="AT14" s="7"/>
      <c r="AU14" s="7"/>
      <c r="AV14" s="7"/>
      <c r="AW14" s="7"/>
      <c r="AX14" s="7"/>
      <c r="AY14" s="7"/>
      <c r="AZ14" s="7"/>
      <c r="BA14" s="7"/>
      <c r="BB14" s="7"/>
      <c r="BC14" s="7"/>
    </row>
    <row r="15" spans="1:55" s="10" customFormat="1" x14ac:dyDescent="0.35">
      <c r="A15" s="12" t="s">
        <v>5</v>
      </c>
      <c r="B15" s="13">
        <v>1</v>
      </c>
      <c r="C15" s="13">
        <v>2013</v>
      </c>
      <c r="D15" s="16">
        <v>4.9546130311273799</v>
      </c>
      <c r="E15" s="16">
        <v>1.1063310346265212</v>
      </c>
      <c r="F15" s="21">
        <v>7.6870000000000003</v>
      </c>
      <c r="G15" s="15">
        <v>32.874000000000002</v>
      </c>
      <c r="H15" s="22">
        <v>-0.33200000000000002</v>
      </c>
      <c r="I15" s="16">
        <v>9.5046020000000002</v>
      </c>
      <c r="J15" s="16">
        <v>21.341166606326684</v>
      </c>
      <c r="K15" s="16">
        <v>12.610802177251772</v>
      </c>
      <c r="L15" s="16">
        <v>15.808638295586601</v>
      </c>
      <c r="M15" s="16">
        <v>3.1450707358762799</v>
      </c>
      <c r="N15" s="16">
        <v>12.663567559710321</v>
      </c>
      <c r="O15" s="16">
        <v>4.7511089999999996</v>
      </c>
      <c r="P15" s="16">
        <v>69.307010000000005</v>
      </c>
      <c r="Q15" s="30">
        <v>1.8562346793841968</v>
      </c>
      <c r="R15" s="30">
        <v>14.678513834563564</v>
      </c>
      <c r="S15" s="16">
        <v>31.070329999999998</v>
      </c>
      <c r="T15" s="16">
        <v>40.666631332046933</v>
      </c>
      <c r="U15" s="16">
        <v>33.190300000000001</v>
      </c>
      <c r="V15" s="16">
        <v>32.035294758244632</v>
      </c>
      <c r="W15" s="16">
        <v>6.1056772728563917</v>
      </c>
      <c r="X15" s="16">
        <v>72.450999999999993</v>
      </c>
      <c r="Y15" s="16">
        <v>50.747085790955424</v>
      </c>
      <c r="Z15" s="16">
        <v>36.064846967837219</v>
      </c>
      <c r="AA15" s="16">
        <v>14.18476265713902</v>
      </c>
      <c r="AB15" s="16">
        <v>40.216000000000001</v>
      </c>
      <c r="AC15" s="16">
        <f t="shared" si="0"/>
        <v>14.682238823118205</v>
      </c>
      <c r="AD15" s="8"/>
      <c r="AE15" s="8"/>
      <c r="AF15" s="12"/>
      <c r="AG15" s="12"/>
      <c r="AH15" s="12"/>
      <c r="AI15" s="12"/>
      <c r="AJ15" s="12"/>
      <c r="AK15" s="7"/>
      <c r="AL15" s="7"/>
      <c r="AM15" s="7"/>
      <c r="AN15" s="7"/>
      <c r="AO15" s="7"/>
      <c r="AP15" s="7"/>
      <c r="AQ15" s="7"/>
      <c r="AR15" s="7"/>
      <c r="AS15" s="7"/>
      <c r="AT15" s="7"/>
      <c r="AU15" s="7"/>
      <c r="AV15" s="7"/>
      <c r="AW15" s="7"/>
      <c r="AX15" s="7"/>
      <c r="AY15" s="7"/>
      <c r="AZ15" s="7"/>
      <c r="BA15" s="7"/>
      <c r="BB15" s="7"/>
      <c r="BC15" s="7"/>
    </row>
    <row r="16" spans="1:55" s="10" customFormat="1" x14ac:dyDescent="0.35">
      <c r="A16" s="12" t="s">
        <v>5</v>
      </c>
      <c r="B16" s="13">
        <v>1</v>
      </c>
      <c r="C16" s="13">
        <v>2014</v>
      </c>
      <c r="D16" s="16">
        <v>4.8225592696215642</v>
      </c>
      <c r="E16" s="16">
        <v>1.0307291179667146</v>
      </c>
      <c r="F16" s="21">
        <v>7.4980000000000002</v>
      </c>
      <c r="G16" s="15">
        <v>40.661000000000001</v>
      </c>
      <c r="H16" s="22">
        <v>-6.5750000000000002</v>
      </c>
      <c r="I16" s="16">
        <v>12.7333</v>
      </c>
      <c r="J16" s="16">
        <v>19.886760166394474</v>
      </c>
      <c r="K16" s="16">
        <v>12.380529769805436</v>
      </c>
      <c r="L16" s="16">
        <v>16.3822709411366</v>
      </c>
      <c r="M16" s="16">
        <v>3.52696441746378</v>
      </c>
      <c r="N16" s="16">
        <v>12.855306523672819</v>
      </c>
      <c r="O16" s="16">
        <v>4.5503080000000002</v>
      </c>
      <c r="P16" s="16">
        <v>59.794490000000003</v>
      </c>
      <c r="Q16" s="30">
        <v>0.87334460879551434</v>
      </c>
      <c r="R16" s="30">
        <v>5.9715166406929452</v>
      </c>
      <c r="S16" s="16">
        <v>33.258400000000002</v>
      </c>
      <c r="T16" s="16">
        <v>39.026094785536358</v>
      </c>
      <c r="U16" s="16">
        <v>35.67548</v>
      </c>
      <c r="V16" s="16">
        <v>35.246161250159538</v>
      </c>
      <c r="W16" s="16">
        <v>-2.7305423958903443</v>
      </c>
      <c r="X16" s="16">
        <v>70.197999999999993</v>
      </c>
      <c r="Y16" s="16">
        <v>44.695029460985339</v>
      </c>
      <c r="Z16" s="16">
        <v>34.637893321904386</v>
      </c>
      <c r="AA16" s="16">
        <v>13.542630162126212</v>
      </c>
      <c r="AB16" s="16">
        <v>35.326999999999998</v>
      </c>
      <c r="AC16" s="16">
        <f t="shared" si="0"/>
        <v>10.057136139080953</v>
      </c>
      <c r="AD16" s="8"/>
      <c r="AE16" s="8"/>
      <c r="AF16" s="12"/>
      <c r="AG16" s="12"/>
      <c r="AH16" s="12"/>
      <c r="AI16" s="12"/>
      <c r="AJ16" s="12"/>
      <c r="AK16" s="7"/>
      <c r="AL16" s="7"/>
      <c r="AM16" s="7"/>
      <c r="AN16" s="7"/>
      <c r="AO16" s="7"/>
      <c r="AP16" s="7"/>
      <c r="AQ16" s="7"/>
      <c r="AR16" s="7"/>
      <c r="AS16" s="7"/>
      <c r="AT16" s="7"/>
      <c r="AU16" s="7"/>
      <c r="AV16" s="7"/>
      <c r="AW16" s="7"/>
      <c r="AX16" s="7"/>
      <c r="AY16" s="7"/>
      <c r="AZ16" s="7"/>
      <c r="BA16" s="7"/>
      <c r="BB16" s="7"/>
      <c r="BC16" s="7"/>
    </row>
    <row r="17" spans="1:55" s="10" customFormat="1" x14ac:dyDescent="0.35">
      <c r="A17" s="12" t="s">
        <v>5</v>
      </c>
      <c r="B17" s="13">
        <v>1</v>
      </c>
      <c r="C17" s="13">
        <v>2015</v>
      </c>
      <c r="D17" s="16">
        <v>0.94357156132500108</v>
      </c>
      <c r="E17" s="16">
        <v>-2.6429753303070385</v>
      </c>
      <c r="F17" s="21">
        <v>14.27</v>
      </c>
      <c r="G17" s="15">
        <v>65.438000000000002</v>
      </c>
      <c r="H17" s="22">
        <v>-3.3029999999999999</v>
      </c>
      <c r="I17" s="16">
        <v>17.348050000000001</v>
      </c>
      <c r="J17" s="16">
        <v>24.010775650346361</v>
      </c>
      <c r="K17" s="16">
        <v>21.144181530359564</v>
      </c>
      <c r="L17" s="16">
        <v>16.881862399882198</v>
      </c>
      <c r="M17" s="16">
        <v>3.31462018020741</v>
      </c>
      <c r="N17" s="16">
        <v>13.567242219674789</v>
      </c>
      <c r="O17" s="16">
        <v>5.1425539999999996</v>
      </c>
      <c r="P17" s="16">
        <v>62.924939999999999</v>
      </c>
      <c r="Q17" s="30">
        <v>2.1052304722262019</v>
      </c>
      <c r="R17" s="30">
        <v>18.542603143628533</v>
      </c>
      <c r="S17" s="16">
        <v>38.15775</v>
      </c>
      <c r="T17" s="16">
        <v>37.396668195130935</v>
      </c>
      <c r="U17" s="16">
        <v>38.084989999999998</v>
      </c>
      <c r="V17" s="16">
        <v>34.283158600486203</v>
      </c>
      <c r="W17" s="16">
        <v>-11.778175079741953</v>
      </c>
      <c r="X17" s="16">
        <v>66.655000000000001</v>
      </c>
      <c r="Y17" s="16">
        <v>29.754597950680743</v>
      </c>
      <c r="Z17" s="16">
        <v>33.133918138338473</v>
      </c>
      <c r="AA17" s="16">
        <v>11.002019017930307</v>
      </c>
      <c r="AB17" s="16">
        <v>27.324000000000002</v>
      </c>
      <c r="AC17" s="16">
        <f t="shared" si="0"/>
        <v>-3.3793201876577292</v>
      </c>
      <c r="AD17" s="8"/>
      <c r="AE17" s="8"/>
      <c r="AF17" s="12"/>
      <c r="AG17" s="12"/>
      <c r="AH17" s="12"/>
      <c r="AI17" s="12"/>
      <c r="AJ17" s="12"/>
      <c r="AK17" s="7"/>
      <c r="AL17" s="7"/>
      <c r="AM17" s="7"/>
      <c r="AN17" s="7"/>
      <c r="AO17" s="7"/>
      <c r="AP17" s="7"/>
      <c r="AQ17" s="7"/>
      <c r="AR17" s="7"/>
      <c r="AS17" s="7"/>
      <c r="AT17" s="7"/>
      <c r="AU17" s="7"/>
      <c r="AV17" s="7"/>
      <c r="AW17" s="7"/>
      <c r="AX17" s="7"/>
      <c r="AY17" s="7"/>
      <c r="AZ17" s="7"/>
      <c r="BA17" s="7"/>
      <c r="BB17" s="7"/>
      <c r="BC17" s="7"/>
    </row>
    <row r="18" spans="1:55" s="10" customFormat="1" x14ac:dyDescent="0.35">
      <c r="A18" s="12" t="s">
        <v>5</v>
      </c>
      <c r="B18" s="13">
        <v>1</v>
      </c>
      <c r="C18" s="13">
        <v>2016</v>
      </c>
      <c r="D18" s="16">
        <v>-2.5801112218828024</v>
      </c>
      <c r="E18" s="16">
        <v>-6.0118907775114252</v>
      </c>
      <c r="F18" s="21">
        <v>41.945</v>
      </c>
      <c r="G18" s="15">
        <v>75.817999999999998</v>
      </c>
      <c r="H18" s="22">
        <v>-5.0010000000000003</v>
      </c>
      <c r="I18" s="16">
        <v>20.135670000000001</v>
      </c>
      <c r="J18" s="16">
        <v>19.940830842926204</v>
      </c>
      <c r="K18" s="16">
        <v>-4.9220631948174827</v>
      </c>
      <c r="L18" s="16">
        <v>15.7805039391116</v>
      </c>
      <c r="M18" s="16">
        <v>5.5443181248823104</v>
      </c>
      <c r="N18" s="16">
        <v>10.236185814229291</v>
      </c>
      <c r="O18" s="16">
        <v>6.4832700000000001</v>
      </c>
      <c r="P18" s="16">
        <v>54.263109999999998</v>
      </c>
      <c r="Q18" s="30">
        <v>2.8321048730125189</v>
      </c>
      <c r="R18" s="30">
        <v>10.98646705737902</v>
      </c>
      <c r="S18" s="16">
        <v>36.74832</v>
      </c>
      <c r="T18" s="16">
        <v>32.108241068657371</v>
      </c>
      <c r="U18" s="16">
        <v>36.657859999999999</v>
      </c>
      <c r="V18" s="16">
        <v>31.202861930918914</v>
      </c>
      <c r="W18" s="16">
        <v>-6.1901385605991104</v>
      </c>
      <c r="X18" s="16">
        <v>83.863</v>
      </c>
      <c r="Y18" s="16">
        <v>28.124485447200577</v>
      </c>
      <c r="Z18" s="16">
        <v>25.245672620398178</v>
      </c>
      <c r="AA18" s="16">
        <v>9.7325124835278753</v>
      </c>
      <c r="AB18" s="16">
        <v>18.658999999999999</v>
      </c>
      <c r="AC18" s="16">
        <f t="shared" si="0"/>
        <v>2.8788128268023989</v>
      </c>
      <c r="AD18" s="8"/>
      <c r="AE18" s="8"/>
      <c r="AF18" s="12"/>
      <c r="AG18" s="12"/>
      <c r="AH18" s="12"/>
      <c r="AI18" s="12"/>
      <c r="AJ18" s="12"/>
      <c r="AK18" s="7"/>
      <c r="AL18" s="7"/>
      <c r="AM18" s="7"/>
      <c r="AN18" s="7"/>
      <c r="AO18" s="7"/>
      <c r="AP18" s="7"/>
      <c r="AQ18" s="7"/>
      <c r="AR18" s="7"/>
      <c r="AS18" s="7"/>
      <c r="AT18" s="7"/>
      <c r="AU18" s="7"/>
      <c r="AV18" s="7"/>
      <c r="AW18" s="7"/>
      <c r="AX18" s="7"/>
      <c r="AY18" s="7"/>
      <c r="AZ18" s="7"/>
      <c r="BA18" s="7"/>
      <c r="BB18" s="7"/>
      <c r="BC18" s="7"/>
    </row>
    <row r="19" spans="1:55" s="10" customFormat="1" x14ac:dyDescent="0.35">
      <c r="A19" s="12" t="s">
        <v>5</v>
      </c>
      <c r="B19" s="13">
        <v>1</v>
      </c>
      <c r="C19" s="13">
        <v>2017</v>
      </c>
      <c r="D19" s="16">
        <v>-0.14714982544920474</v>
      </c>
      <c r="E19" s="16">
        <v>-3.6306950380174783</v>
      </c>
      <c r="F19" s="21">
        <v>23.395</v>
      </c>
      <c r="G19" s="15">
        <v>65.069000000000003</v>
      </c>
      <c r="H19" s="22">
        <v>-6.7939999999999996</v>
      </c>
      <c r="I19" s="16">
        <v>18.879670000000001</v>
      </c>
      <c r="J19" s="16">
        <v>15.920022470907394</v>
      </c>
      <c r="K19" s="16">
        <v>-5.5526382829066829</v>
      </c>
      <c r="L19" s="16">
        <v>15.8061003813255</v>
      </c>
      <c r="M19" s="16">
        <v>6.3421932312639004</v>
      </c>
      <c r="N19" s="16">
        <v>9.4639071500615994</v>
      </c>
      <c r="O19" s="16">
        <v>6.9264089999999996</v>
      </c>
      <c r="P19" s="16">
        <v>52.889719999999997</v>
      </c>
      <c r="Q19" s="30">
        <v>2.4545964383803698</v>
      </c>
      <c r="R19" s="30">
        <v>7.5710357002957434</v>
      </c>
      <c r="S19" s="16">
        <v>30.100380000000001</v>
      </c>
      <c r="T19" s="16">
        <v>26.074900774849247</v>
      </c>
      <c r="U19" s="16">
        <v>29.97325</v>
      </c>
      <c r="V19" s="16">
        <v>32.139555394367186</v>
      </c>
      <c r="W19" s="16">
        <v>-0.91756087721114699</v>
      </c>
      <c r="X19" s="16">
        <v>107.16500000000001</v>
      </c>
      <c r="Y19" s="16">
        <v>29.004102003050399</v>
      </c>
      <c r="Z19" s="16">
        <v>23.252725160070707</v>
      </c>
      <c r="AA19" s="16">
        <v>9.2237775021080033</v>
      </c>
      <c r="AB19" s="16">
        <v>17.135000000000002</v>
      </c>
      <c r="AC19" s="16">
        <f t="shared" si="0"/>
        <v>5.7513768429796919</v>
      </c>
      <c r="AD19" s="8"/>
      <c r="AE19" s="8"/>
      <c r="AF19" s="12"/>
      <c r="AG19" s="12"/>
      <c r="AH19" s="12"/>
      <c r="AI19" s="12"/>
      <c r="AJ19" s="12"/>
      <c r="AK19" s="7"/>
      <c r="AL19" s="7"/>
      <c r="AM19" s="7"/>
      <c r="AN19" s="7"/>
      <c r="AO19" s="7"/>
      <c r="AP19" s="7"/>
      <c r="AQ19" s="7"/>
      <c r="AR19" s="7"/>
      <c r="AS19" s="7"/>
      <c r="AT19" s="7"/>
      <c r="AU19" s="7"/>
      <c r="AV19" s="7"/>
      <c r="AW19" s="7"/>
      <c r="AX19" s="7"/>
      <c r="AY19" s="7"/>
      <c r="AZ19" s="7"/>
      <c r="BA19" s="7"/>
      <c r="BB19" s="7"/>
      <c r="BC19" s="7"/>
    </row>
    <row r="20" spans="1:55" s="10" customFormat="1" x14ac:dyDescent="0.35">
      <c r="A20" s="12" t="s">
        <v>5</v>
      </c>
      <c r="B20" s="13">
        <v>1</v>
      </c>
      <c r="C20" s="13">
        <v>2018</v>
      </c>
      <c r="D20" s="16">
        <v>-1.3163616889689536</v>
      </c>
      <c r="E20" s="16">
        <v>-4.6766695843259924</v>
      </c>
      <c r="F20" s="21">
        <v>17.611000000000001</v>
      </c>
      <c r="G20" s="15">
        <v>65.992000000000004</v>
      </c>
      <c r="H20" s="22">
        <v>-5.5250000000000004</v>
      </c>
      <c r="I20" s="16">
        <v>17.852900000000002</v>
      </c>
      <c r="J20" s="16">
        <v>13.832309640900512</v>
      </c>
      <c r="K20" s="16">
        <v>-5.8440033533744744</v>
      </c>
      <c r="L20" s="16">
        <v>20.6770040277157</v>
      </c>
      <c r="M20" s="16">
        <v>6.87665706999036</v>
      </c>
      <c r="N20" s="16">
        <v>13.80034695772534</v>
      </c>
      <c r="O20" s="16">
        <v>5.3906460000000003</v>
      </c>
      <c r="P20" s="16">
        <v>47.445309999999999</v>
      </c>
      <c r="Q20" s="30">
        <v>6.3473522199927332</v>
      </c>
      <c r="R20" s="30">
        <v>15.457109560504609</v>
      </c>
      <c r="S20" s="16">
        <v>29.15427</v>
      </c>
      <c r="T20" s="16">
        <v>27.815126754435781</v>
      </c>
      <c r="U20" s="16">
        <v>29.026330000000002</v>
      </c>
      <c r="V20" s="16">
        <v>28.206366031524986</v>
      </c>
      <c r="W20" s="16">
        <v>9.5157813726266145</v>
      </c>
      <c r="X20" s="16">
        <v>124.06699999999999</v>
      </c>
      <c r="Y20" s="16">
        <v>40.836289829981901</v>
      </c>
      <c r="Z20" s="16">
        <v>25.541723496357971</v>
      </c>
      <c r="AA20" s="16">
        <v>9.6447785034135656</v>
      </c>
      <c r="AB20" s="16">
        <v>16.577999999999999</v>
      </c>
      <c r="AC20" s="16">
        <f t="shared" si="0"/>
        <v>15.29456633362393</v>
      </c>
      <c r="AD20" s="8"/>
      <c r="AE20" s="8"/>
      <c r="AF20" s="12"/>
      <c r="AG20" s="12"/>
      <c r="AH20" s="12"/>
      <c r="AI20" s="12"/>
      <c r="AJ20" s="12"/>
      <c r="AK20" s="7"/>
      <c r="AL20" s="7"/>
      <c r="AM20" s="7"/>
      <c r="AN20" s="7"/>
      <c r="AO20" s="7"/>
      <c r="AP20" s="7"/>
      <c r="AQ20" s="7"/>
      <c r="AR20" s="7"/>
      <c r="AS20" s="7"/>
      <c r="AT20" s="7"/>
      <c r="AU20" s="7"/>
      <c r="AV20" s="7"/>
      <c r="AW20" s="7"/>
      <c r="AX20" s="7"/>
      <c r="AY20" s="7"/>
      <c r="AZ20" s="7"/>
      <c r="BA20" s="7"/>
      <c r="BB20" s="7"/>
      <c r="BC20" s="7"/>
    </row>
    <row r="21" spans="1:55" s="10" customFormat="1" x14ac:dyDescent="0.35">
      <c r="A21" s="12" t="s">
        <v>5</v>
      </c>
      <c r="B21" s="13">
        <v>1</v>
      </c>
      <c r="C21" s="13">
        <v>2019</v>
      </c>
      <c r="D21" s="16">
        <v>-0.70227295761601738</v>
      </c>
      <c r="E21" s="16">
        <v>-4.0171141610325378</v>
      </c>
      <c r="F21" s="21">
        <v>15</v>
      </c>
      <c r="G21" s="15">
        <v>67.051000000000002</v>
      </c>
      <c r="H21" s="22">
        <v>-4.04</v>
      </c>
      <c r="I21" s="16">
        <v>16.92577</v>
      </c>
      <c r="J21" s="16">
        <v>14.256938488919493</v>
      </c>
      <c r="K21" s="16">
        <v>9.0918787281260044E-2</v>
      </c>
      <c r="L21" s="16">
        <v>19.295367205655001</v>
      </c>
      <c r="M21" s="16">
        <v>6.4154018293861297</v>
      </c>
      <c r="N21" s="16">
        <v>12.879965376268871</v>
      </c>
      <c r="O21" s="16">
        <v>4.9376239999999996</v>
      </c>
      <c r="P21" s="16">
        <v>44.145020000000002</v>
      </c>
      <c r="Q21" s="30">
        <v>-1.1258906918467875</v>
      </c>
      <c r="R21" s="30">
        <v>-5.3810085846746212</v>
      </c>
      <c r="S21" s="16">
        <v>31.768750000000001</v>
      </c>
      <c r="T21" s="16">
        <v>32.543464949057473</v>
      </c>
      <c r="U21" s="16">
        <v>31.44369</v>
      </c>
      <c r="V21" s="16">
        <v>32.045254786335448</v>
      </c>
      <c r="W21" s="16">
        <v>7.4122938087340797</v>
      </c>
      <c r="X21" s="16">
        <v>138.62100000000001</v>
      </c>
      <c r="Y21" s="16">
        <v>40.790755053283291</v>
      </c>
      <c r="Z21" s="16">
        <v>17.038783065020279</v>
      </c>
      <c r="AA21" s="16">
        <v>10.090385804430989</v>
      </c>
      <c r="AB21" s="16">
        <v>17.170999999999999</v>
      </c>
      <c r="AC21" s="16">
        <f t="shared" si="0"/>
        <v>23.751971988263012</v>
      </c>
      <c r="AD21" s="8"/>
      <c r="AE21" s="8"/>
      <c r="AF21" s="12"/>
      <c r="AG21" s="12"/>
      <c r="AH21" s="12"/>
      <c r="AI21" s="12"/>
      <c r="AJ21" s="12"/>
      <c r="AK21" s="7"/>
      <c r="AL21" s="7"/>
      <c r="AM21" s="7"/>
      <c r="AN21" s="7"/>
      <c r="AO21" s="7"/>
      <c r="AP21" s="7"/>
      <c r="AQ21" s="7"/>
      <c r="AR21" s="7"/>
      <c r="AS21" s="7"/>
      <c r="AT21" s="7"/>
      <c r="AU21" s="7"/>
      <c r="AV21" s="7"/>
      <c r="AW21" s="7"/>
      <c r="AX21" s="7"/>
      <c r="AY21" s="7"/>
      <c r="AZ21" s="7"/>
      <c r="BA21" s="7"/>
      <c r="BB21" s="7"/>
      <c r="BC21" s="7"/>
    </row>
    <row r="22" spans="1:55" s="10" customFormat="1" x14ac:dyDescent="0.35">
      <c r="A22" s="12" t="s">
        <v>5</v>
      </c>
      <c r="B22" s="13">
        <v>1</v>
      </c>
      <c r="C22" s="13">
        <v>2020</v>
      </c>
      <c r="D22" s="16">
        <v>-5.6382147171493386</v>
      </c>
      <c r="E22" s="16">
        <v>-8.6724321291184339</v>
      </c>
      <c r="F22" s="21">
        <v>12</v>
      </c>
      <c r="G22" s="15">
        <v>66.867999999999995</v>
      </c>
      <c r="H22" s="22">
        <v>-3.5790000000000002</v>
      </c>
      <c r="I22" s="16">
        <v>20.7012</v>
      </c>
      <c r="J22" s="16">
        <v>12.426118419372639</v>
      </c>
      <c r="K22" s="16">
        <v>8.0286568530856748</v>
      </c>
      <c r="L22" s="16">
        <v>19.6558949254322</v>
      </c>
      <c r="M22" s="16">
        <v>6.2017284360128402</v>
      </c>
      <c r="N22" s="16">
        <v>13.454166489419361</v>
      </c>
      <c r="O22" s="16">
        <v>6.4632589999999999</v>
      </c>
      <c r="P22" s="16">
        <v>32.043700000000001</v>
      </c>
      <c r="Q22" s="30">
        <v>-2.7649138992424449</v>
      </c>
      <c r="R22" s="30">
        <v>-13.190238253269223</v>
      </c>
      <c r="S22" s="16">
        <v>36.4178785</v>
      </c>
      <c r="T22" s="16">
        <v>36.834536645697327</v>
      </c>
      <c r="U22" s="16">
        <v>35.911009999999997</v>
      </c>
      <c r="V22" s="16">
        <v>35.071192620222945</v>
      </c>
      <c r="W22" s="16">
        <v>1.7354579737395066</v>
      </c>
      <c r="X22" s="16">
        <v>153.89400000000001</v>
      </c>
      <c r="Y22" s="16">
        <v>38.038274158379302</v>
      </c>
      <c r="Z22" s="16">
        <v>17.337542107414357</v>
      </c>
      <c r="AA22" s="16">
        <v>10.523689955592483</v>
      </c>
      <c r="AB22" s="16">
        <v>17.148</v>
      </c>
      <c r="AC22" s="16">
        <f t="shared" si="0"/>
        <v>20.700732050964945</v>
      </c>
      <c r="AD22" s="8"/>
      <c r="AE22" s="8"/>
      <c r="AF22" s="12"/>
      <c r="AG22" s="12"/>
      <c r="AH22" s="12"/>
      <c r="AI22" s="12"/>
      <c r="AJ22" s="12"/>
      <c r="AK22" s="7"/>
      <c r="AL22" s="7"/>
      <c r="AM22" s="7"/>
      <c r="AN22" s="7"/>
      <c r="AO22" s="7"/>
      <c r="AP22" s="7"/>
      <c r="AQ22" s="7"/>
      <c r="AR22" s="7"/>
      <c r="AS22" s="7"/>
      <c r="AT22" s="7"/>
      <c r="AU22" s="7"/>
      <c r="AV22" s="7"/>
      <c r="AW22" s="7"/>
      <c r="AX22" s="7"/>
      <c r="AY22" s="7"/>
      <c r="AZ22" s="7"/>
      <c r="BA22" s="7"/>
      <c r="BB22" s="7"/>
      <c r="BC22" s="7"/>
    </row>
    <row r="23" spans="1:55" s="10" customFormat="1" x14ac:dyDescent="0.35">
      <c r="A23" s="12" t="s">
        <v>5</v>
      </c>
      <c r="B23" s="13">
        <v>1</v>
      </c>
      <c r="C23" s="13">
        <v>2021</v>
      </c>
      <c r="D23" s="16">
        <v>1.1992105214515334</v>
      </c>
      <c r="E23" s="16">
        <v>-1.9545980063689399</v>
      </c>
      <c r="F23" s="21">
        <v>10</v>
      </c>
      <c r="G23" s="15">
        <v>65.951999999999998</v>
      </c>
      <c r="H23" s="22">
        <v>-2.81</v>
      </c>
      <c r="I23" s="16">
        <v>24.47663</v>
      </c>
      <c r="J23" s="16">
        <v>9.2793722959120775</v>
      </c>
      <c r="K23" s="16">
        <v>-13.992668781888719</v>
      </c>
      <c r="L23" s="16">
        <v>19.4031546297083</v>
      </c>
      <c r="M23" s="16">
        <v>7.7514247694532799</v>
      </c>
      <c r="N23" s="16">
        <v>12.35724650917086</v>
      </c>
      <c r="O23" s="16">
        <v>7.5259619999999998</v>
      </c>
      <c r="P23" s="16">
        <v>37.194119999999998</v>
      </c>
      <c r="Q23" s="30">
        <v>2.1857731835857548</v>
      </c>
      <c r="R23" s="30">
        <v>26.753165374967381</v>
      </c>
      <c r="S23" s="16">
        <v>22.588819999999998</v>
      </c>
      <c r="T23" s="16">
        <v>41.125608342337173</v>
      </c>
      <c r="U23" s="16">
        <v>22.27298</v>
      </c>
      <c r="V23" s="16">
        <v>55.626743035886015</v>
      </c>
      <c r="W23" s="16">
        <v>12.787388309115252</v>
      </c>
      <c r="X23" s="16">
        <v>167.672</v>
      </c>
      <c r="Y23" s="16">
        <v>45.434320468831224</v>
      </c>
      <c r="Z23" s="16">
        <v>16.621200084701375</v>
      </c>
      <c r="AA23" s="16">
        <v>10.956994106753974</v>
      </c>
      <c r="AB23" s="16">
        <v>17.146000000000001</v>
      </c>
      <c r="AC23" s="16">
        <f t="shared" si="0"/>
        <v>28.813120384129849</v>
      </c>
      <c r="AD23" s="8"/>
      <c r="AE23" s="8"/>
      <c r="AF23" s="12"/>
      <c r="AG23" s="12"/>
      <c r="AH23" s="12"/>
      <c r="AI23" s="12"/>
      <c r="AJ23" s="12"/>
      <c r="AK23" s="7"/>
      <c r="AL23" s="7"/>
      <c r="AM23" s="7"/>
      <c r="AN23" s="7"/>
      <c r="AO23" s="7"/>
      <c r="AP23" s="7"/>
      <c r="AQ23" s="7"/>
      <c r="AR23" s="7"/>
      <c r="AS23" s="7"/>
      <c r="AT23" s="7"/>
      <c r="AU23" s="7"/>
      <c r="AV23" s="7"/>
      <c r="AW23" s="7"/>
      <c r="AX23" s="7"/>
      <c r="AY23" s="7"/>
      <c r="AZ23" s="7"/>
      <c r="BA23" s="7"/>
      <c r="BB23" s="7"/>
      <c r="BC23" s="7"/>
    </row>
    <row r="24" spans="1:55" s="10" customFormat="1" x14ac:dyDescent="0.35">
      <c r="A24" s="12" t="s">
        <v>5</v>
      </c>
      <c r="B24" s="13">
        <v>1</v>
      </c>
      <c r="C24" s="13">
        <v>2022</v>
      </c>
      <c r="D24" s="16">
        <v>3.0454030095492755</v>
      </c>
      <c r="E24" s="16">
        <v>-9.6754729759283009E-2</v>
      </c>
      <c r="F24" s="21">
        <v>8.968</v>
      </c>
      <c r="G24" s="15">
        <v>66.117000000000004</v>
      </c>
      <c r="H24" s="22">
        <v>-2.4449999999999998</v>
      </c>
      <c r="I24" s="16">
        <v>22.25206</v>
      </c>
      <c r="J24" s="16">
        <v>7.3927902688764853</v>
      </c>
      <c r="K24" s="16">
        <v>3.2813890089179814</v>
      </c>
      <c r="L24" s="16">
        <v>20.1172113762759</v>
      </c>
      <c r="M24" s="16">
        <v>7.1035870614598204</v>
      </c>
      <c r="N24" s="16">
        <v>13.013624314816081</v>
      </c>
      <c r="O24" s="31"/>
      <c r="P24" s="16">
        <f>AVERAGE(P21:P23)</f>
        <v>37.794280000000001</v>
      </c>
      <c r="Q24" s="30">
        <v>7.1364602664139545</v>
      </c>
      <c r="R24" s="30">
        <v>6.6965690032039999</v>
      </c>
      <c r="S24" s="16">
        <v>17.998854999999999</v>
      </c>
      <c r="T24" s="16">
        <v>45.41668003897702</v>
      </c>
      <c r="U24" s="16">
        <v>28.63495</v>
      </c>
      <c r="V24" s="16">
        <v>72.467143199053396</v>
      </c>
      <c r="W24" s="16">
        <v>11.02301476613982</v>
      </c>
      <c r="X24" s="16">
        <v>181.01599999999999</v>
      </c>
      <c r="Y24" s="16">
        <f>AVERAGE(Y21:Y23)</f>
        <v>41.421116560164613</v>
      </c>
      <c r="Z24" s="16">
        <v>15.904858061988392</v>
      </c>
      <c r="AA24" s="16">
        <v>11.390298257915468</v>
      </c>
      <c r="AB24" s="16">
        <v>17.123000000000001</v>
      </c>
      <c r="AC24" s="16">
        <f t="shared" si="0"/>
        <v>25.516258498176221</v>
      </c>
      <c r="AD24" s="8"/>
      <c r="AE24" s="8"/>
      <c r="AF24" s="12"/>
      <c r="AG24" s="12"/>
      <c r="AH24" s="12"/>
      <c r="AI24" s="12"/>
      <c r="AJ24" s="12"/>
      <c r="AK24" s="7"/>
      <c r="AL24" s="7"/>
      <c r="AM24" s="7"/>
      <c r="AN24" s="7"/>
      <c r="AO24" s="7"/>
      <c r="AP24" s="7"/>
      <c r="AQ24" s="7"/>
      <c r="AR24" s="7"/>
      <c r="AS24" s="7"/>
      <c r="AT24" s="7"/>
      <c r="AU24" s="7"/>
      <c r="AV24" s="7"/>
      <c r="AW24" s="7"/>
      <c r="AX24" s="7"/>
      <c r="AY24" s="7"/>
      <c r="AZ24" s="7"/>
      <c r="BA24" s="7"/>
      <c r="BB24" s="7"/>
      <c r="BC24" s="7"/>
    </row>
    <row r="25" spans="1:55" s="10" customFormat="1" x14ac:dyDescent="0.35">
      <c r="A25" s="12" t="s">
        <v>6</v>
      </c>
      <c r="B25" s="13">
        <v>2</v>
      </c>
      <c r="C25" s="13">
        <v>2000</v>
      </c>
      <c r="D25" s="16">
        <v>1.9876958337855228</v>
      </c>
      <c r="E25" s="16">
        <v>-0.10445789094487168</v>
      </c>
      <c r="F25" s="15">
        <v>8.6014851485149002</v>
      </c>
      <c r="G25" s="21">
        <v>8.48</v>
      </c>
      <c r="H25" s="22">
        <v>8.6010000000000009</v>
      </c>
      <c r="I25" s="16">
        <v>1.6185179999999999</v>
      </c>
      <c r="J25" s="16">
        <v>14.7111</v>
      </c>
      <c r="K25" s="16">
        <v>1.1458252370570974</v>
      </c>
      <c r="L25" s="16">
        <v>15.4791666666667</v>
      </c>
      <c r="M25" s="16">
        <v>9.4164583333333294</v>
      </c>
      <c r="N25" s="16">
        <v>6.0627083333333704</v>
      </c>
      <c r="O25" s="16">
        <v>6.8057819999999998</v>
      </c>
      <c r="P25" s="16">
        <v>64.665760000000006</v>
      </c>
      <c r="Q25" s="16">
        <v>3.8567369999999999</v>
      </c>
      <c r="R25" s="16">
        <v>47.994459999999997</v>
      </c>
      <c r="S25" s="16">
        <v>6.0627079999999998</v>
      </c>
      <c r="T25" s="16">
        <v>31.499659999999999</v>
      </c>
      <c r="U25" s="16">
        <v>24.816210000000002</v>
      </c>
      <c r="V25" s="16">
        <f>AVERAGE(V26:V29)</f>
        <v>31.511995618359627</v>
      </c>
      <c r="W25" s="16">
        <v>9.4180495224013008</v>
      </c>
      <c r="X25" s="16">
        <v>2.1230000000000002</v>
      </c>
      <c r="Y25" s="16">
        <v>51.831810070129933</v>
      </c>
      <c r="Z25" s="16">
        <v>40.092919619788084</v>
      </c>
      <c r="AA25" s="16">
        <v>31.456972501476052</v>
      </c>
      <c r="AB25" s="16">
        <v>46.845999999999997</v>
      </c>
      <c r="AC25" s="16">
        <f t="shared" si="0"/>
        <v>11.738890450341849</v>
      </c>
      <c r="AD25" s="8"/>
      <c r="AE25" s="8"/>
      <c r="AF25" s="12"/>
      <c r="AG25" s="12"/>
      <c r="AH25" s="12"/>
      <c r="AI25" s="12"/>
      <c r="AJ25" s="12"/>
      <c r="AK25" s="7"/>
      <c r="AL25" s="7"/>
      <c r="AM25" s="7"/>
      <c r="AN25" s="7"/>
      <c r="AO25" s="7"/>
      <c r="AP25" s="7"/>
      <c r="AQ25" s="7"/>
      <c r="AR25" s="7"/>
      <c r="AS25" s="7"/>
      <c r="AT25" s="7"/>
      <c r="AU25" s="7"/>
      <c r="AV25" s="7"/>
      <c r="AW25" s="7"/>
      <c r="AX25" s="7"/>
      <c r="AY25" s="7"/>
      <c r="AZ25" s="7"/>
      <c r="BA25" s="7"/>
      <c r="BB25" s="7"/>
      <c r="BC25" s="7"/>
    </row>
    <row r="26" spans="1:55" s="10" customFormat="1" x14ac:dyDescent="0.35">
      <c r="A26" s="12" t="s">
        <v>6</v>
      </c>
      <c r="B26" s="13">
        <v>2</v>
      </c>
      <c r="C26" s="13">
        <v>2001</v>
      </c>
      <c r="D26" s="16">
        <v>0.25057394968908397</v>
      </c>
      <c r="E26" s="16">
        <v>-1.7377322297118383</v>
      </c>
      <c r="F26" s="15">
        <v>6.5590376701486397</v>
      </c>
      <c r="G26" s="21">
        <v>5.7519999999999998</v>
      </c>
      <c r="H26" s="22">
        <v>-2.8959999999999999</v>
      </c>
      <c r="I26" s="16">
        <v>1.5169999999999999</v>
      </c>
      <c r="J26" s="16">
        <v>16.586200000000002</v>
      </c>
      <c r="K26" s="16">
        <v>6.8663844752645504</v>
      </c>
      <c r="L26" s="16">
        <v>15.75</v>
      </c>
      <c r="M26" s="16">
        <v>10.0858333333333</v>
      </c>
      <c r="N26" s="16">
        <v>5.6641666666667003</v>
      </c>
      <c r="O26" s="16">
        <v>6.2159459999999997</v>
      </c>
      <c r="P26" s="16">
        <v>55.947409999999998</v>
      </c>
      <c r="Q26" s="16">
        <v>3.640476</v>
      </c>
      <c r="R26" s="16">
        <v>47.398090000000003</v>
      </c>
      <c r="S26" s="16">
        <v>5.6641659999999998</v>
      </c>
      <c r="T26" s="16">
        <v>40.007829999999998</v>
      </c>
      <c r="U26" s="16">
        <v>31.02552</v>
      </c>
      <c r="V26" s="16">
        <v>30.410605377104368</v>
      </c>
      <c r="W26" s="16">
        <v>10.84251001373624</v>
      </c>
      <c r="X26" s="16">
        <v>2.2490000000000001</v>
      </c>
      <c r="Y26" s="16">
        <v>48.657608238034797</v>
      </c>
      <c r="Z26" s="16">
        <v>38.867457330060908</v>
      </c>
      <c r="AA26" s="16">
        <v>30.764919106443578</v>
      </c>
      <c r="AB26" s="16">
        <v>38.970999999999997</v>
      </c>
      <c r="AC26" s="16">
        <f t="shared" si="0"/>
        <v>9.7901509079738886</v>
      </c>
      <c r="AD26" s="8"/>
      <c r="AE26" s="8"/>
      <c r="AF26" s="12"/>
      <c r="AG26" s="12"/>
      <c r="AH26" s="12"/>
      <c r="AI26" s="12"/>
      <c r="AJ26" s="12"/>
      <c r="AK26" s="7"/>
      <c r="AL26" s="7"/>
      <c r="AM26" s="7"/>
      <c r="AN26" s="7"/>
      <c r="AO26" s="7"/>
      <c r="AP26" s="7"/>
      <c r="AQ26" s="7"/>
      <c r="AR26" s="7"/>
      <c r="AS26" s="7"/>
      <c r="AT26" s="7"/>
      <c r="AU26" s="7"/>
      <c r="AV26" s="7"/>
      <c r="AW26" s="7"/>
      <c r="AX26" s="7"/>
      <c r="AY26" s="7"/>
      <c r="AZ26" s="7"/>
      <c r="BA26" s="7"/>
      <c r="BB26" s="7"/>
      <c r="BC26" s="7"/>
    </row>
    <row r="27" spans="1:55" s="10" customFormat="1" x14ac:dyDescent="0.35">
      <c r="A27" s="12" t="s">
        <v>6</v>
      </c>
      <c r="B27" s="13">
        <v>2</v>
      </c>
      <c r="C27" s="13">
        <v>2002</v>
      </c>
      <c r="D27" s="16">
        <v>6.0695308764831708</v>
      </c>
      <c r="E27" s="16">
        <v>4.1078298157804625</v>
      </c>
      <c r="F27" s="15">
        <v>8.0327966252748606</v>
      </c>
      <c r="G27" s="21">
        <v>10.6</v>
      </c>
      <c r="H27" s="22">
        <v>-3.9119999999999999</v>
      </c>
      <c r="I27" s="16">
        <v>1.3202</v>
      </c>
      <c r="J27" s="16">
        <v>19.280200000000001</v>
      </c>
      <c r="K27" s="16">
        <v>14.844701007510606</v>
      </c>
      <c r="L27" s="16">
        <v>16.2083333333333</v>
      </c>
      <c r="M27" s="16">
        <v>10.453749999999999</v>
      </c>
      <c r="N27" s="16">
        <v>5.7545833333333007</v>
      </c>
      <c r="O27" s="16">
        <v>7.7689069999999996</v>
      </c>
      <c r="P27" s="16">
        <v>70.496780000000001</v>
      </c>
      <c r="Q27" s="16">
        <v>4.6483850000000002</v>
      </c>
      <c r="R27" s="16">
        <v>68.565479999999994</v>
      </c>
      <c r="S27" s="16">
        <v>5.7545830000000002</v>
      </c>
      <c r="T27" s="16">
        <v>29.414459999999998</v>
      </c>
      <c r="U27" s="16">
        <v>28.763500000000001</v>
      </c>
      <c r="V27" s="16">
        <v>28.394828710268261</v>
      </c>
      <c r="W27" s="16">
        <v>4.8420750906555119</v>
      </c>
      <c r="X27" s="16">
        <v>2.2410000000000001</v>
      </c>
      <c r="Y27" s="16">
        <v>52.15742677824268</v>
      </c>
      <c r="Z27" s="16">
        <v>39.678347280334734</v>
      </c>
      <c r="AA27" s="16">
        <v>30.088090886101821</v>
      </c>
      <c r="AB27" s="16">
        <v>40.837000000000003</v>
      </c>
      <c r="AC27" s="16">
        <f t="shared" si="0"/>
        <v>12.479079497907946</v>
      </c>
      <c r="AD27" s="8"/>
      <c r="AE27" s="8"/>
      <c r="AF27" s="12"/>
      <c r="AG27" s="12"/>
      <c r="AH27" s="12"/>
      <c r="AI27" s="12"/>
      <c r="AJ27" s="12"/>
      <c r="AK27" s="7"/>
      <c r="AL27" s="7"/>
      <c r="AM27" s="7"/>
      <c r="AN27" s="7"/>
      <c r="AO27" s="7"/>
      <c r="AP27" s="7"/>
      <c r="AQ27" s="7"/>
      <c r="AR27" s="7"/>
      <c r="AS27" s="7"/>
      <c r="AT27" s="7"/>
      <c r="AU27" s="7"/>
      <c r="AV27" s="7"/>
      <c r="AW27" s="7"/>
      <c r="AX27" s="7"/>
      <c r="AY27" s="7"/>
      <c r="AZ27" s="7"/>
      <c r="BA27" s="7"/>
      <c r="BB27" s="7"/>
      <c r="BC27" s="7"/>
    </row>
    <row r="28" spans="1:55" s="10" customFormat="1" x14ac:dyDescent="0.35">
      <c r="A28" s="12" t="s">
        <v>6</v>
      </c>
      <c r="B28" s="13">
        <v>2</v>
      </c>
      <c r="C28" s="13">
        <v>2003</v>
      </c>
      <c r="D28" s="16">
        <v>4.6258947495929874</v>
      </c>
      <c r="E28" s="16">
        <v>2.8085206399368019</v>
      </c>
      <c r="F28" s="15">
        <v>9.1899026563273907</v>
      </c>
      <c r="G28" s="21">
        <v>6.3680000000000003</v>
      </c>
      <c r="H28" s="22">
        <v>-0.17399999999999999</v>
      </c>
      <c r="I28" s="16">
        <v>2.592511</v>
      </c>
      <c r="J28" s="16">
        <v>19.977399999999999</v>
      </c>
      <c r="K28" s="16">
        <v>12.72615935722537</v>
      </c>
      <c r="L28" s="16">
        <v>16.399999999999999</v>
      </c>
      <c r="M28" s="16">
        <v>9.9451041666666704</v>
      </c>
      <c r="N28" s="16">
        <v>6.4548958333333282</v>
      </c>
      <c r="O28" s="16">
        <v>8.768122</v>
      </c>
      <c r="P28" s="16">
        <v>67.204509999999999</v>
      </c>
      <c r="Q28" s="16">
        <v>4.9450890000000003</v>
      </c>
      <c r="R28" s="16">
        <v>67.078389999999999</v>
      </c>
      <c r="S28" s="16">
        <v>6.4548959999999997</v>
      </c>
      <c r="T28" s="16">
        <v>24.774539999999998</v>
      </c>
      <c r="U28" s="16">
        <v>31.32009</v>
      </c>
      <c r="V28" s="16">
        <v>32.475580725560896</v>
      </c>
      <c r="W28" s="16">
        <v>9.5424488875572226</v>
      </c>
      <c r="X28" s="16">
        <v>2.2690000000000001</v>
      </c>
      <c r="Y28" s="16">
        <v>48.826857834010426</v>
      </c>
      <c r="Z28" s="16">
        <v>37.007184681116009</v>
      </c>
      <c r="AA28" s="16">
        <v>29.426152886607579</v>
      </c>
      <c r="AB28" s="16">
        <v>42.216000000000001</v>
      </c>
      <c r="AC28" s="16">
        <f t="shared" si="0"/>
        <v>11.819673152894417</v>
      </c>
      <c r="AD28" s="8"/>
      <c r="AE28" s="8"/>
      <c r="AF28" s="12"/>
      <c r="AG28" s="12"/>
      <c r="AH28" s="12"/>
      <c r="AI28" s="12"/>
      <c r="AJ28" s="12"/>
      <c r="AK28" s="7"/>
      <c r="AL28" s="7"/>
      <c r="AM28" s="7"/>
      <c r="AN28" s="7"/>
      <c r="AO28" s="7"/>
      <c r="AP28" s="7"/>
      <c r="AQ28" s="7"/>
      <c r="AR28" s="7"/>
      <c r="AS28" s="7"/>
      <c r="AT28" s="7"/>
      <c r="AU28" s="7"/>
      <c r="AV28" s="7"/>
      <c r="AW28" s="7"/>
      <c r="AX28" s="7"/>
      <c r="AY28" s="7"/>
      <c r="AZ28" s="7"/>
      <c r="BA28" s="7"/>
      <c r="BB28" s="7"/>
      <c r="BC28" s="7"/>
    </row>
    <row r="29" spans="1:55" s="10" customFormat="1" x14ac:dyDescent="0.35">
      <c r="A29" s="12" t="s">
        <v>6</v>
      </c>
      <c r="B29" s="13">
        <v>2</v>
      </c>
      <c r="C29" s="13">
        <v>2004</v>
      </c>
      <c r="D29" s="16">
        <v>2.7058217061117347</v>
      </c>
      <c r="E29" s="16">
        <v>0.92570568827805744</v>
      </c>
      <c r="F29" s="15">
        <v>6.94570363654673</v>
      </c>
      <c r="G29" s="21">
        <v>7.89</v>
      </c>
      <c r="H29" s="22">
        <v>1.3280000000000001</v>
      </c>
      <c r="I29" s="16">
        <v>2.0635029999999999</v>
      </c>
      <c r="J29" s="16">
        <v>21.935700000000001</v>
      </c>
      <c r="K29" s="16">
        <v>5.1519565356725199</v>
      </c>
      <c r="L29" s="16">
        <v>15.75</v>
      </c>
      <c r="M29" s="16">
        <v>9.8510416666666707</v>
      </c>
      <c r="N29" s="16">
        <v>5.8989583333333293</v>
      </c>
      <c r="O29" s="16">
        <v>7.0588199999999999</v>
      </c>
      <c r="P29" s="16">
        <v>76.356650000000002</v>
      </c>
      <c r="Q29" s="16">
        <v>3.9893299999999998</v>
      </c>
      <c r="R29" s="16">
        <v>54.188769999999998</v>
      </c>
      <c r="S29" s="16">
        <v>5.8989580000000004</v>
      </c>
      <c r="T29" s="16">
        <v>26.00958</v>
      </c>
      <c r="U29" s="16">
        <v>31.547789999999999</v>
      </c>
      <c r="V29" s="16">
        <v>34.766967660504974</v>
      </c>
      <c r="W29" s="16">
        <v>3.536783233320707</v>
      </c>
      <c r="X29" s="16">
        <v>2.431</v>
      </c>
      <c r="Y29" s="16">
        <v>49.613787781505181</v>
      </c>
      <c r="Z29" s="16">
        <v>41.384035105757924</v>
      </c>
      <c r="AA29" s="16">
        <v>28.77877752310221</v>
      </c>
      <c r="AB29" s="16">
        <v>40.640999999999998</v>
      </c>
      <c r="AC29" s="16">
        <f t="shared" si="0"/>
        <v>8.2297526757472568</v>
      </c>
      <c r="AD29" s="8"/>
      <c r="AE29" s="8"/>
      <c r="AF29" s="12"/>
      <c r="AG29" s="12"/>
      <c r="AH29" s="12"/>
      <c r="AI29" s="12"/>
      <c r="AJ29" s="12"/>
      <c r="AK29" s="7"/>
      <c r="AL29" s="7"/>
      <c r="AM29" s="7"/>
      <c r="AN29" s="7"/>
      <c r="AO29" s="7"/>
      <c r="AP29" s="7"/>
      <c r="AQ29" s="7"/>
      <c r="AR29" s="7"/>
      <c r="AS29" s="7"/>
      <c r="AT29" s="7"/>
      <c r="AU29" s="7"/>
      <c r="AV29" s="7"/>
      <c r="AW29" s="7"/>
      <c r="AX29" s="7"/>
      <c r="AY29" s="7"/>
      <c r="AZ29" s="7"/>
      <c r="BA29" s="7"/>
      <c r="BB29" s="7"/>
      <c r="BC29" s="7"/>
    </row>
    <row r="30" spans="1:55" s="10" customFormat="1" x14ac:dyDescent="0.35">
      <c r="A30" s="12" t="s">
        <v>6</v>
      </c>
      <c r="B30" s="13">
        <v>2</v>
      </c>
      <c r="C30" s="13">
        <v>2005</v>
      </c>
      <c r="D30" s="16">
        <v>4.5566456532318114</v>
      </c>
      <c r="E30" s="16">
        <v>2.6938782370513366</v>
      </c>
      <c r="F30" s="15">
        <v>8.6102252854643808</v>
      </c>
      <c r="G30" s="21">
        <v>11.285</v>
      </c>
      <c r="H30" s="22">
        <v>10.198</v>
      </c>
      <c r="I30" s="16">
        <v>1.0025679999999999</v>
      </c>
      <c r="J30" s="16">
        <v>19.763400000000001</v>
      </c>
      <c r="K30" s="16">
        <v>0.2301805685446808</v>
      </c>
      <c r="L30" s="16">
        <v>15.737500000000001</v>
      </c>
      <c r="M30" s="16">
        <v>9.2538250000000009</v>
      </c>
      <c r="N30" s="16">
        <v>6.4836749999999999</v>
      </c>
      <c r="O30" s="16">
        <v>6.1348830000000003</v>
      </c>
      <c r="P30" s="16">
        <v>71.932310000000001</v>
      </c>
      <c r="Q30" s="16">
        <v>3.8917639999999998</v>
      </c>
      <c r="R30" s="16">
        <v>56.42859</v>
      </c>
      <c r="S30" s="16">
        <v>6.4836749999999999</v>
      </c>
      <c r="T30" s="16">
        <v>28.58222</v>
      </c>
      <c r="U30" s="16">
        <v>28.912279999999999</v>
      </c>
      <c r="V30" s="16">
        <v>42.923686223915752</v>
      </c>
      <c r="W30" s="16">
        <v>16.105710845608666</v>
      </c>
      <c r="X30" s="16">
        <v>2.7189999999999999</v>
      </c>
      <c r="Y30" s="16">
        <v>52.923553544769561</v>
      </c>
      <c r="Z30" s="16">
        <v>35.581798512580924</v>
      </c>
      <c r="AA30" s="16">
        <v>28.14564441759396</v>
      </c>
      <c r="AB30" s="16">
        <v>43.566000000000003</v>
      </c>
      <c r="AC30" s="16">
        <f t="shared" si="0"/>
        <v>17.341755032188637</v>
      </c>
      <c r="AD30" s="8"/>
      <c r="AE30" s="8"/>
      <c r="AF30" s="12"/>
      <c r="AG30" s="12"/>
      <c r="AH30" s="12"/>
      <c r="AI30" s="12"/>
      <c r="AJ30" s="12"/>
      <c r="AK30" s="7"/>
      <c r="AL30" s="7"/>
      <c r="AM30" s="7"/>
      <c r="AN30" s="7"/>
      <c r="AO30" s="7"/>
      <c r="AP30" s="7"/>
      <c r="AQ30" s="7"/>
      <c r="AR30" s="7"/>
      <c r="AS30" s="7"/>
      <c r="AT30" s="7"/>
      <c r="AU30" s="7"/>
      <c r="AV30" s="7"/>
      <c r="AW30" s="7"/>
      <c r="AX30" s="7"/>
      <c r="AY30" s="7"/>
      <c r="AZ30" s="7"/>
      <c r="BA30" s="7"/>
      <c r="BB30" s="7"/>
      <c r="BC30" s="7"/>
    </row>
    <row r="31" spans="1:55" s="10" customFormat="1" x14ac:dyDescent="0.35">
      <c r="A31" s="12" t="s">
        <v>6</v>
      </c>
      <c r="B31" s="13">
        <v>2</v>
      </c>
      <c r="C31" s="13">
        <v>2006</v>
      </c>
      <c r="D31" s="16">
        <v>8.3638710928230608</v>
      </c>
      <c r="E31" s="16">
        <v>6.3470049067110068</v>
      </c>
      <c r="F31" s="15">
        <v>11.5552187914379</v>
      </c>
      <c r="G31" s="21">
        <v>8.5220000000000002</v>
      </c>
      <c r="H31" s="22">
        <v>12.978</v>
      </c>
      <c r="I31" s="16">
        <v>0.80210809999999999</v>
      </c>
      <c r="J31" s="16">
        <v>20.484500000000001</v>
      </c>
      <c r="K31" s="16">
        <v>10.749845131893611</v>
      </c>
      <c r="L31" s="16">
        <v>16.4583333333333</v>
      </c>
      <c r="M31" s="16">
        <v>8.8712678571428594</v>
      </c>
      <c r="N31" s="16">
        <v>7.5870654761904408</v>
      </c>
      <c r="O31" s="16">
        <v>5.5182289999999998</v>
      </c>
      <c r="P31" s="16">
        <v>50.638759999999998</v>
      </c>
      <c r="Q31" s="16">
        <v>3.708107</v>
      </c>
      <c r="R31" s="16">
        <v>64.607560000000007</v>
      </c>
      <c r="S31" s="16">
        <v>7.5870649999999999</v>
      </c>
      <c r="T31" s="16">
        <v>15.71729</v>
      </c>
      <c r="U31" s="16">
        <v>41.564819999999997</v>
      </c>
      <c r="V31" s="16">
        <v>102.27826967193178</v>
      </c>
      <c r="W31" s="16">
        <v>19.664776022716307</v>
      </c>
      <c r="X31" s="16">
        <v>2.835</v>
      </c>
      <c r="Y31" s="16">
        <v>51.780826760393538</v>
      </c>
      <c r="Z31" s="16">
        <v>34.831607153130491</v>
      </c>
      <c r="AA31" s="16">
        <v>27.526440240406892</v>
      </c>
      <c r="AB31" s="16">
        <v>45.271999999999998</v>
      </c>
      <c r="AC31" s="16">
        <f t="shared" si="0"/>
        <v>16.949219607263046</v>
      </c>
      <c r="AD31" s="8"/>
      <c r="AE31" s="8"/>
      <c r="AF31" s="12"/>
      <c r="AG31" s="12"/>
      <c r="AH31" s="12"/>
      <c r="AI31" s="12"/>
      <c r="AJ31" s="12"/>
      <c r="AK31" s="7"/>
      <c r="AL31" s="7"/>
      <c r="AM31" s="7"/>
      <c r="AN31" s="7"/>
      <c r="AO31" s="7"/>
      <c r="AP31" s="7"/>
      <c r="AQ31" s="7"/>
      <c r="AR31" s="7"/>
      <c r="AS31" s="7"/>
      <c r="AT31" s="7"/>
      <c r="AU31" s="7"/>
      <c r="AV31" s="7"/>
      <c r="AW31" s="7"/>
      <c r="AX31" s="7"/>
      <c r="AY31" s="7"/>
      <c r="AZ31" s="7"/>
      <c r="BA31" s="7"/>
      <c r="BB31" s="7"/>
      <c r="BC31" s="7"/>
    </row>
    <row r="32" spans="1:55" s="10" customFormat="1" x14ac:dyDescent="0.35">
      <c r="A32" s="12" t="s">
        <v>6</v>
      </c>
      <c r="B32" s="13">
        <v>2</v>
      </c>
      <c r="C32" s="13">
        <v>2007</v>
      </c>
      <c r="D32" s="16">
        <v>5.7925557772711755</v>
      </c>
      <c r="E32" s="16">
        <v>3.7340678095605853</v>
      </c>
      <c r="F32" s="15">
        <v>7.0809984717269403</v>
      </c>
      <c r="G32" s="21">
        <v>8.141</v>
      </c>
      <c r="H32" s="22">
        <v>5.5609999999999999</v>
      </c>
      <c r="I32" s="16">
        <v>0.54318999999999995</v>
      </c>
      <c r="J32" s="16">
        <v>22.664400000000001</v>
      </c>
      <c r="K32" s="16">
        <v>9.6066013655193458</v>
      </c>
      <c r="L32" s="16">
        <v>16.215</v>
      </c>
      <c r="M32" s="16">
        <v>8.6186391666666697</v>
      </c>
      <c r="N32" s="16">
        <v>7.5963608333333301</v>
      </c>
      <c r="O32" s="16">
        <v>5.2326899999999998</v>
      </c>
      <c r="P32" s="16">
        <v>48.433399999999999</v>
      </c>
      <c r="Q32" s="16">
        <v>2.7811859999999999</v>
      </c>
      <c r="R32" s="16">
        <v>57.325850000000003</v>
      </c>
      <c r="S32" s="16">
        <v>7.5963609999999999</v>
      </c>
      <c r="T32" s="16">
        <v>18.967089999999999</v>
      </c>
      <c r="U32" s="16">
        <v>47.988700000000001</v>
      </c>
      <c r="V32" s="16">
        <v>96.71749103867738</v>
      </c>
      <c r="W32" s="16">
        <v>15.655061501340539</v>
      </c>
      <c r="X32" s="16">
        <v>2.8980000000000001</v>
      </c>
      <c r="Y32" s="16">
        <v>56.479962927167982</v>
      </c>
      <c r="Z32" s="16">
        <v>42.01656201355722</v>
      </c>
      <c r="AA32" s="16">
        <v>26.61745627310837</v>
      </c>
      <c r="AB32" s="16">
        <v>41.512</v>
      </c>
      <c r="AC32" s="16">
        <f t="shared" si="0"/>
        <v>14.463400913610762</v>
      </c>
      <c r="AD32" s="8"/>
      <c r="AE32" s="8"/>
      <c r="AF32" s="12"/>
      <c r="AG32" s="12"/>
      <c r="AH32" s="12"/>
      <c r="AI32" s="12"/>
      <c r="AJ32" s="12"/>
      <c r="AK32" s="7"/>
      <c r="AL32" s="7"/>
      <c r="AM32" s="7"/>
      <c r="AN32" s="7"/>
      <c r="AO32" s="7"/>
      <c r="AP32" s="7"/>
      <c r="AQ32" s="7"/>
      <c r="AR32" s="7"/>
      <c r="AS32" s="7"/>
      <c r="AT32" s="7"/>
      <c r="AU32" s="7"/>
      <c r="AV32" s="7"/>
      <c r="AW32" s="7"/>
      <c r="AX32" s="7"/>
      <c r="AY32" s="7"/>
      <c r="AZ32" s="7"/>
      <c r="BA32" s="7"/>
      <c r="BB32" s="7"/>
      <c r="BC32" s="7"/>
    </row>
    <row r="33" spans="1:55" s="10" customFormat="1" x14ac:dyDescent="0.35">
      <c r="A33" s="12" t="s">
        <v>6</v>
      </c>
      <c r="B33" s="13">
        <v>2</v>
      </c>
      <c r="C33" s="13">
        <v>2008</v>
      </c>
      <c r="D33" s="16">
        <v>3.2520729579683234</v>
      </c>
      <c r="E33" s="16">
        <v>1.1769188323962538</v>
      </c>
      <c r="F33" s="15">
        <v>12.7021883920075</v>
      </c>
      <c r="G33" s="21">
        <v>13.678000000000001</v>
      </c>
      <c r="H33" s="22">
        <v>-7.4740000000000002</v>
      </c>
      <c r="I33" s="16">
        <v>3.7088049999999999</v>
      </c>
      <c r="J33" s="16">
        <v>25.787299999999998</v>
      </c>
      <c r="K33" s="16">
        <v>6.5545921677882726</v>
      </c>
      <c r="L33" s="16">
        <v>16.5416666666667</v>
      </c>
      <c r="M33" s="16">
        <v>8.6732250000000004</v>
      </c>
      <c r="N33" s="16">
        <v>7.8684416666666994</v>
      </c>
      <c r="O33" s="16">
        <v>5.069115</v>
      </c>
      <c r="P33" s="16">
        <v>50.605510000000002</v>
      </c>
      <c r="Q33" s="16">
        <v>2.8024399999999998</v>
      </c>
      <c r="R33" s="16">
        <v>57.08596</v>
      </c>
      <c r="S33" s="16">
        <v>7.8684419999999999</v>
      </c>
      <c r="T33" s="16">
        <v>37.614719999999998</v>
      </c>
      <c r="U33" s="16">
        <v>52.246830000000003</v>
      </c>
      <c r="V33" s="16">
        <v>70.285967686867934</v>
      </c>
      <c r="W33" s="16">
        <v>1.3934587912308407</v>
      </c>
      <c r="X33" s="16">
        <v>2.9769999999999999</v>
      </c>
      <c r="Y33" s="16">
        <v>46.946904660995045</v>
      </c>
      <c r="Z33" s="16">
        <v>52.061317346993931</v>
      </c>
      <c r="AA33" s="16">
        <v>27.920899875317929</v>
      </c>
      <c r="AB33" s="16">
        <v>39.767000000000003</v>
      </c>
      <c r="AC33" s="16">
        <f t="shared" si="0"/>
        <v>-5.1144126859988859</v>
      </c>
      <c r="AD33" s="8"/>
      <c r="AE33" s="8"/>
      <c r="AF33" s="12"/>
      <c r="AG33" s="12"/>
      <c r="AH33" s="12"/>
      <c r="AI33" s="12"/>
      <c r="AJ33" s="12"/>
      <c r="AK33" s="7"/>
      <c r="AL33" s="7"/>
      <c r="AM33" s="7"/>
      <c r="AN33" s="7"/>
      <c r="AO33" s="7"/>
      <c r="AP33" s="7"/>
      <c r="AQ33" s="7"/>
      <c r="AR33" s="7"/>
      <c r="AS33" s="7"/>
      <c r="AT33" s="7"/>
      <c r="AU33" s="7"/>
      <c r="AV33" s="7"/>
      <c r="AW33" s="7"/>
      <c r="AX33" s="7"/>
      <c r="AY33" s="7"/>
      <c r="AZ33" s="7"/>
      <c r="BA33" s="7"/>
      <c r="BB33" s="7"/>
      <c r="BC33" s="7"/>
    </row>
    <row r="34" spans="1:55" s="10" customFormat="1" x14ac:dyDescent="0.35">
      <c r="A34" s="12" t="s">
        <v>6</v>
      </c>
      <c r="B34" s="13">
        <v>2</v>
      </c>
      <c r="C34" s="13">
        <v>2009</v>
      </c>
      <c r="D34" s="16">
        <v>-14.144234616342331</v>
      </c>
      <c r="E34" s="16">
        <v>-15.89055768753019</v>
      </c>
      <c r="F34" s="15">
        <v>8.0272970310958307</v>
      </c>
      <c r="G34" s="21">
        <v>5.8460000000000001</v>
      </c>
      <c r="H34" s="22">
        <v>-13.308999999999999</v>
      </c>
      <c r="I34" s="16">
        <v>2.1877249999999999</v>
      </c>
      <c r="J34" s="16">
        <v>28.9315</v>
      </c>
      <c r="K34" s="16">
        <v>-1.1756765561269149</v>
      </c>
      <c r="L34" s="16">
        <v>13.755625</v>
      </c>
      <c r="M34" s="16">
        <v>7.4695208333333296</v>
      </c>
      <c r="N34" s="16">
        <v>6.2861041666666706</v>
      </c>
      <c r="O34" s="16">
        <v>6.0002950000000004</v>
      </c>
      <c r="P34" s="16">
        <v>56.960270000000001</v>
      </c>
      <c r="Q34" s="16">
        <v>2.661565</v>
      </c>
      <c r="R34" s="16">
        <v>45.997120000000002</v>
      </c>
      <c r="S34" s="16">
        <v>6.2861039999999999</v>
      </c>
      <c r="T34" s="16">
        <v>21.11054</v>
      </c>
      <c r="U34" s="16">
        <v>52.702820000000003</v>
      </c>
      <c r="V34" s="16">
        <v>73.927753220584933</v>
      </c>
      <c r="W34" s="16">
        <v>-6.4059393162897393</v>
      </c>
      <c r="X34" s="16">
        <v>3.145</v>
      </c>
      <c r="Y34" s="16">
        <v>35.833661858761786</v>
      </c>
      <c r="Z34" s="16">
        <v>52.647126774976037</v>
      </c>
      <c r="AA34" s="16">
        <v>27.686814021981821</v>
      </c>
      <c r="AB34" s="16">
        <v>37.033000000000001</v>
      </c>
      <c r="AC34" s="16">
        <f t="shared" si="0"/>
        <v>-16.813464916214251</v>
      </c>
      <c r="AD34" s="8"/>
      <c r="AE34" s="8"/>
      <c r="AF34" s="12"/>
      <c r="AG34" s="12"/>
      <c r="AH34" s="12"/>
      <c r="AI34" s="12"/>
      <c r="AJ34" s="12"/>
      <c r="AK34" s="7"/>
      <c r="AL34" s="7"/>
      <c r="AM34" s="7"/>
      <c r="AN34" s="7"/>
      <c r="AO34" s="7"/>
      <c r="AP34" s="7"/>
      <c r="AQ34" s="7"/>
      <c r="AR34" s="7"/>
      <c r="AS34" s="7"/>
      <c r="AT34" s="7"/>
      <c r="AU34" s="7"/>
      <c r="AV34" s="7"/>
      <c r="AW34" s="7"/>
      <c r="AX34" s="7"/>
      <c r="AY34" s="7"/>
      <c r="AZ34" s="7"/>
      <c r="BA34" s="7"/>
      <c r="BB34" s="7"/>
      <c r="BC34" s="7"/>
    </row>
    <row r="35" spans="1:55" s="10" customFormat="1" x14ac:dyDescent="0.35">
      <c r="A35" s="12" t="s">
        <v>6</v>
      </c>
      <c r="B35" s="13">
        <v>2</v>
      </c>
      <c r="C35" s="13">
        <v>2010</v>
      </c>
      <c r="D35" s="16">
        <v>10.122209117973242</v>
      </c>
      <c r="E35" s="16">
        <v>7.8758711323136907</v>
      </c>
      <c r="F35" s="15">
        <v>6.9488765874310499</v>
      </c>
      <c r="G35" s="21">
        <v>7.41</v>
      </c>
      <c r="H35" s="22">
        <v>-7.4569999999999999</v>
      </c>
      <c r="I35" s="16">
        <v>1.1950160000000001</v>
      </c>
      <c r="J35" s="16">
        <v>27.1936</v>
      </c>
      <c r="K35" s="16">
        <v>3.5059106131051112</v>
      </c>
      <c r="L35" s="16">
        <v>11.4583333333333</v>
      </c>
      <c r="M35" s="16">
        <v>5.5978833333333302</v>
      </c>
      <c r="N35" s="16">
        <v>5.86044999999997</v>
      </c>
      <c r="O35" s="16">
        <v>5.7643690000000003</v>
      </c>
      <c r="P35" s="16">
        <v>58.528419999999997</v>
      </c>
      <c r="Q35" s="16">
        <v>2.9261879999999998</v>
      </c>
      <c r="R35" s="16">
        <v>41.763399999999997</v>
      </c>
      <c r="S35" s="16">
        <v>5.8604500000000002</v>
      </c>
      <c r="T35" s="16">
        <v>25.82272</v>
      </c>
      <c r="U35" s="16">
        <v>49.339599999999997</v>
      </c>
      <c r="V35" s="16">
        <v>68.014157722943835</v>
      </c>
      <c r="W35" s="16">
        <v>-5.8884022566345351</v>
      </c>
      <c r="X35" s="16">
        <v>3.6379999999999999</v>
      </c>
      <c r="Y35" s="16">
        <v>42.144331514442655</v>
      </c>
      <c r="Z35" s="16">
        <v>52.494670572949929</v>
      </c>
      <c r="AA35" s="16">
        <v>23.883364205694878</v>
      </c>
      <c r="AB35" s="16">
        <v>32.484000000000002</v>
      </c>
      <c r="AC35" s="16">
        <f t="shared" si="0"/>
        <v>-10.350339058507274</v>
      </c>
      <c r="AD35" s="8"/>
      <c r="AE35" s="8"/>
      <c r="AF35" s="12"/>
      <c r="AG35" s="12"/>
      <c r="AH35" s="12"/>
      <c r="AI35" s="12"/>
      <c r="AJ35" s="12"/>
      <c r="AK35" s="7"/>
      <c r="AL35" s="7"/>
      <c r="AM35" s="7"/>
      <c r="AN35" s="7"/>
      <c r="AO35" s="7"/>
      <c r="AP35" s="7"/>
      <c r="AQ35" s="7"/>
      <c r="AR35" s="7"/>
      <c r="AS35" s="7"/>
      <c r="AT35" s="7"/>
      <c r="AU35" s="7"/>
      <c r="AV35" s="7"/>
      <c r="AW35" s="7"/>
      <c r="AX35" s="7"/>
      <c r="AY35" s="7"/>
      <c r="AZ35" s="7"/>
      <c r="BA35" s="7"/>
      <c r="BB35" s="7"/>
      <c r="BC35" s="7"/>
    </row>
    <row r="36" spans="1:55" s="10" customFormat="1" x14ac:dyDescent="0.35">
      <c r="A36" s="12" t="s">
        <v>6</v>
      </c>
      <c r="B36" s="13">
        <v>2</v>
      </c>
      <c r="C36" s="13">
        <v>2011</v>
      </c>
      <c r="D36" s="16">
        <v>6.8385297480348299</v>
      </c>
      <c r="E36" s="16">
        <v>4.7171658630536797</v>
      </c>
      <c r="F36" s="15">
        <v>8.4598723340858708</v>
      </c>
      <c r="G36" s="21">
        <v>9.1750000000000007</v>
      </c>
      <c r="H36" s="22">
        <v>-0.113</v>
      </c>
      <c r="I36" s="16">
        <v>2.587291</v>
      </c>
      <c r="J36" s="16">
        <v>27.415800000000001</v>
      </c>
      <c r="K36" s="16">
        <v>-1.4676190281070576</v>
      </c>
      <c r="L36" s="16">
        <v>11</v>
      </c>
      <c r="M36" s="16">
        <v>5.1477374999999999</v>
      </c>
      <c r="N36" s="16">
        <v>5.8522625000000001</v>
      </c>
      <c r="O36" s="16">
        <v>5.7947649999999999</v>
      </c>
      <c r="P36" s="16">
        <v>66.575450000000004</v>
      </c>
      <c r="Q36" s="16">
        <v>3.1862300000000001</v>
      </c>
      <c r="R36" s="16">
        <v>39.840209999999999</v>
      </c>
      <c r="S36" s="16">
        <v>5.8522619999999996</v>
      </c>
      <c r="T36" s="16">
        <v>30.390059999999998</v>
      </c>
      <c r="U36" s="16">
        <v>42.639989999999997</v>
      </c>
      <c r="V36" s="16">
        <v>40.173086286030014</v>
      </c>
      <c r="W36" s="16">
        <v>-0.87298481755635016</v>
      </c>
      <c r="X36" s="16">
        <v>3.7639999999999998</v>
      </c>
      <c r="Y36" s="16">
        <v>44.236397916720136</v>
      </c>
      <c r="Z36" s="16">
        <v>54.725069863426768</v>
      </c>
      <c r="AA36" s="16">
        <v>24.045326160706441</v>
      </c>
      <c r="AB36" s="16">
        <v>36.226999999999997</v>
      </c>
      <c r="AC36" s="16">
        <f t="shared" si="0"/>
        <v>-10.488671946706631</v>
      </c>
      <c r="AD36" s="8"/>
      <c r="AE36" s="8"/>
      <c r="AF36" s="12"/>
      <c r="AG36" s="12"/>
      <c r="AH36" s="12"/>
      <c r="AI36" s="12"/>
      <c r="AJ36" s="12"/>
      <c r="AK36" s="7"/>
      <c r="AL36" s="7"/>
      <c r="AM36" s="7"/>
      <c r="AN36" s="7"/>
      <c r="AO36" s="7"/>
      <c r="AP36" s="7"/>
      <c r="AQ36" s="7"/>
      <c r="AR36" s="7"/>
      <c r="AS36" s="7"/>
      <c r="AT36" s="7"/>
      <c r="AU36" s="7"/>
      <c r="AV36" s="7"/>
      <c r="AW36" s="7"/>
      <c r="AX36" s="7"/>
      <c r="AY36" s="7"/>
      <c r="AZ36" s="7"/>
      <c r="BA36" s="7"/>
      <c r="BB36" s="7"/>
      <c r="BC36" s="7"/>
    </row>
    <row r="37" spans="1:55" s="10" customFormat="1" x14ac:dyDescent="0.35">
      <c r="A37" s="12" t="s">
        <v>6</v>
      </c>
      <c r="B37" s="13">
        <v>2</v>
      </c>
      <c r="C37" s="13">
        <v>2012</v>
      </c>
      <c r="D37" s="16">
        <v>-0.17090076145689181</v>
      </c>
      <c r="E37" s="16">
        <v>-2.0701741261028133</v>
      </c>
      <c r="F37" s="15">
        <v>7.5369026109191601</v>
      </c>
      <c r="G37" s="21">
        <v>7.4349999999999996</v>
      </c>
      <c r="H37" s="22">
        <v>0.84599999999999997</v>
      </c>
      <c r="I37" s="16">
        <v>2.4486940000000001</v>
      </c>
      <c r="J37" s="16">
        <v>31.8291</v>
      </c>
      <c r="K37" s="16">
        <v>7.7546020601606127</v>
      </c>
      <c r="L37" s="16">
        <v>11</v>
      </c>
      <c r="M37" s="16">
        <v>3.6075875000000002</v>
      </c>
      <c r="N37" s="16">
        <v>7.3924124999999998</v>
      </c>
      <c r="O37" s="16">
        <v>6.7103320000000002</v>
      </c>
      <c r="P37" s="16">
        <v>73.444689999999994</v>
      </c>
      <c r="Q37" s="16">
        <v>3.9519204810026216</v>
      </c>
      <c r="R37" s="16">
        <v>30.487180901624306</v>
      </c>
      <c r="S37" s="16">
        <v>7.3924130000000003</v>
      </c>
      <c r="T37" s="16">
        <v>19.735261800128765</v>
      </c>
      <c r="U37" s="16">
        <v>44.813659999999999</v>
      </c>
      <c r="V37" s="16">
        <v>30.268523022503569</v>
      </c>
      <c r="W37" s="16">
        <v>-5.9019926705056145</v>
      </c>
      <c r="X37" s="16">
        <v>3.786</v>
      </c>
      <c r="Y37" s="16">
        <v>48.115023832289957</v>
      </c>
      <c r="Z37" s="16">
        <v>63.760256788661849</v>
      </c>
      <c r="AA37" s="16">
        <v>28.036577661604138</v>
      </c>
      <c r="AB37" s="16">
        <v>36.268999999999998</v>
      </c>
      <c r="AC37" s="16">
        <f t="shared" si="0"/>
        <v>-15.645232956371892</v>
      </c>
      <c r="AD37" s="8"/>
      <c r="AE37" s="8"/>
      <c r="AF37" s="12"/>
      <c r="AG37" s="12"/>
      <c r="AH37" s="12"/>
      <c r="AI37" s="12"/>
      <c r="AJ37" s="12"/>
      <c r="AK37" s="7"/>
      <c r="AL37" s="7"/>
      <c r="AM37" s="7"/>
      <c r="AN37" s="7"/>
      <c r="AO37" s="7"/>
      <c r="AP37" s="7"/>
      <c r="AQ37" s="7"/>
      <c r="AR37" s="7"/>
      <c r="AS37" s="7"/>
      <c r="AT37" s="7"/>
      <c r="AU37" s="7"/>
      <c r="AV37" s="7"/>
      <c r="AW37" s="7"/>
      <c r="AX37" s="7"/>
      <c r="AY37" s="7"/>
      <c r="AZ37" s="7"/>
      <c r="BA37" s="7"/>
      <c r="BB37" s="7"/>
      <c r="BC37" s="7"/>
    </row>
    <row r="38" spans="1:55" s="10" customFormat="1" x14ac:dyDescent="0.35">
      <c r="A38" s="12" t="s">
        <v>6</v>
      </c>
      <c r="B38" s="13">
        <v>2</v>
      </c>
      <c r="C38" s="13">
        <v>2013</v>
      </c>
      <c r="D38" s="16">
        <v>11.102823777977051</v>
      </c>
      <c r="E38" s="16">
        <v>9.0056638893299521</v>
      </c>
      <c r="F38" s="15">
        <v>5.8846070705680997</v>
      </c>
      <c r="G38" s="21">
        <v>4.0679999999999996</v>
      </c>
      <c r="H38" s="22">
        <v>5.61</v>
      </c>
      <c r="I38" s="16">
        <v>2.8054060000000001</v>
      </c>
      <c r="J38" s="16">
        <v>31.7911</v>
      </c>
      <c r="K38" s="16">
        <v>8.5264764000074429</v>
      </c>
      <c r="L38" s="16">
        <v>10.1892333333333</v>
      </c>
      <c r="M38" s="16">
        <v>3.1096525000000002</v>
      </c>
      <c r="N38" s="16">
        <v>7.0795808333333001</v>
      </c>
      <c r="O38" s="16">
        <v>6.9387559999999997</v>
      </c>
      <c r="P38" s="16">
        <v>77.694310000000002</v>
      </c>
      <c r="Q38" s="16">
        <v>3.7968455344518599</v>
      </c>
      <c r="R38" s="16">
        <v>26.812187792725627</v>
      </c>
      <c r="S38" s="16">
        <v>7.0795810000000001</v>
      </c>
      <c r="T38" s="16">
        <v>15.007826405761337</v>
      </c>
      <c r="U38" s="16">
        <v>42.657890000000002</v>
      </c>
      <c r="V38" s="16">
        <v>21.822641115597978</v>
      </c>
      <c r="W38" s="16">
        <v>4.5307316633259678</v>
      </c>
      <c r="X38" s="16">
        <v>3.718</v>
      </c>
      <c r="Y38" s="16">
        <v>61.379761746196316</v>
      </c>
      <c r="Z38" s="16">
        <v>64.403278165023721</v>
      </c>
      <c r="AA38" s="16">
        <v>26.740390630359389</v>
      </c>
      <c r="AB38" s="16">
        <v>37.783999999999999</v>
      </c>
      <c r="AC38" s="16">
        <f t="shared" si="0"/>
        <v>-3.0235164188274055</v>
      </c>
      <c r="AD38" s="8"/>
      <c r="AE38" s="8"/>
      <c r="AF38" s="12"/>
      <c r="AG38" s="12"/>
      <c r="AH38" s="12"/>
      <c r="AI38" s="12"/>
      <c r="AJ38" s="12"/>
      <c r="AK38" s="7"/>
      <c r="AL38" s="7"/>
      <c r="AM38" s="7"/>
      <c r="AN38" s="7"/>
      <c r="AO38" s="7"/>
      <c r="AP38" s="7"/>
      <c r="AQ38" s="7"/>
      <c r="AR38" s="7"/>
      <c r="AS38" s="7"/>
      <c r="AT38" s="7"/>
      <c r="AU38" s="7"/>
      <c r="AV38" s="7"/>
      <c r="AW38" s="7"/>
      <c r="AX38" s="7"/>
      <c r="AY38" s="7"/>
      <c r="AZ38" s="7"/>
      <c r="BA38" s="7"/>
      <c r="BB38" s="7"/>
      <c r="BC38" s="7"/>
    </row>
    <row r="39" spans="1:55" s="10" customFormat="1" x14ac:dyDescent="0.35">
      <c r="A39" s="12" t="s">
        <v>6</v>
      </c>
      <c r="B39" s="13">
        <v>2</v>
      </c>
      <c r="C39" s="13">
        <v>2014</v>
      </c>
      <c r="D39" s="16">
        <v>5.6969645398220479</v>
      </c>
      <c r="E39" s="16">
        <v>3.6816680680238818</v>
      </c>
      <c r="F39" s="15">
        <v>4.4022530924343304</v>
      </c>
      <c r="G39" s="21">
        <v>3.75</v>
      </c>
      <c r="H39" s="22">
        <v>3.6970000000000001</v>
      </c>
      <c r="I39" s="16">
        <v>2.6346050000000001</v>
      </c>
      <c r="J39" s="16">
        <v>32.1995</v>
      </c>
      <c r="K39" s="16">
        <v>-0.54901886524438825</v>
      </c>
      <c r="L39" s="16">
        <v>9</v>
      </c>
      <c r="M39" s="16">
        <v>2.5343749999999998</v>
      </c>
      <c r="N39" s="16">
        <v>6.4656250000000002</v>
      </c>
      <c r="O39" s="16">
        <v>6.1161539999999999</v>
      </c>
      <c r="P39" s="16">
        <v>84.290670000000006</v>
      </c>
      <c r="Q39" s="16">
        <v>2.8474194784860929</v>
      </c>
      <c r="R39" s="16">
        <v>19.984558121479719</v>
      </c>
      <c r="S39" s="16">
        <v>6.4656250000000002</v>
      </c>
      <c r="T39" s="16">
        <v>14.087146647355395</v>
      </c>
      <c r="U39" s="16">
        <v>39.740250000000003</v>
      </c>
      <c r="V39" s="16">
        <v>17.066366433543738</v>
      </c>
      <c r="W39" s="16">
        <v>11.075031056129207</v>
      </c>
      <c r="X39" s="16">
        <v>4.1150000000000002</v>
      </c>
      <c r="Y39" s="16">
        <v>61.28296789340655</v>
      </c>
      <c r="Z39" s="16">
        <v>58.214573898057033</v>
      </c>
      <c r="AA39" s="16">
        <v>27.09282996604173</v>
      </c>
      <c r="AB39" s="16">
        <v>38.357999999999997</v>
      </c>
      <c r="AC39" s="16">
        <f t="shared" si="0"/>
        <v>3.068393995349517</v>
      </c>
      <c r="AD39" s="8"/>
      <c r="AE39" s="8"/>
      <c r="AF39" s="12"/>
      <c r="AG39" s="12"/>
      <c r="AH39" s="12"/>
      <c r="AI39" s="12"/>
      <c r="AJ39" s="12"/>
      <c r="AK39" s="7"/>
      <c r="AL39" s="7"/>
      <c r="AM39" s="7"/>
      <c r="AN39" s="7"/>
      <c r="AO39" s="7"/>
      <c r="AP39" s="7"/>
      <c r="AQ39" s="7"/>
      <c r="AR39" s="7"/>
      <c r="AS39" s="7"/>
      <c r="AT39" s="7"/>
      <c r="AU39" s="7"/>
      <c r="AV39" s="7"/>
      <c r="AW39" s="7"/>
      <c r="AX39" s="7"/>
      <c r="AY39" s="7"/>
      <c r="AZ39" s="7"/>
      <c r="BA39" s="7"/>
      <c r="BB39" s="7"/>
      <c r="BC39" s="7"/>
    </row>
    <row r="40" spans="1:55" s="10" customFormat="1" x14ac:dyDescent="0.35">
      <c r="A40" s="12" t="s">
        <v>6</v>
      </c>
      <c r="B40" s="13">
        <v>2</v>
      </c>
      <c r="C40" s="13">
        <v>2015</v>
      </c>
      <c r="D40" s="16">
        <v>-4.8509918165229777</v>
      </c>
      <c r="E40" s="16">
        <v>-6.6999651992259714</v>
      </c>
      <c r="F40" s="15">
        <v>3.0620316958055902</v>
      </c>
      <c r="G40" s="21">
        <v>3.1</v>
      </c>
      <c r="H40" s="22">
        <v>-4.5679999999999996</v>
      </c>
      <c r="I40" s="16">
        <v>2.2919160000000001</v>
      </c>
      <c r="J40" s="16">
        <v>35.867100000000001</v>
      </c>
      <c r="K40" s="16">
        <v>4.0683117657804919</v>
      </c>
      <c r="L40" s="16">
        <v>7.95</v>
      </c>
      <c r="M40" s="16">
        <v>2.5022916666666699</v>
      </c>
      <c r="N40" s="16">
        <v>5.4477083333333303</v>
      </c>
      <c r="O40" s="16">
        <v>4.6744070000000004</v>
      </c>
      <c r="P40" s="16">
        <v>75.610500000000002</v>
      </c>
      <c r="Q40" s="16">
        <v>1.9551493980899326</v>
      </c>
      <c r="R40" s="16">
        <v>13.303390113741367</v>
      </c>
      <c r="S40" s="16">
        <v>5.4477080000000004</v>
      </c>
      <c r="T40" s="16">
        <v>18.472530632069684</v>
      </c>
      <c r="U40" s="16">
        <v>48.670650000000002</v>
      </c>
      <c r="V40" s="16">
        <v>21.973631971499067</v>
      </c>
      <c r="W40" s="16">
        <v>2.2261828022828825</v>
      </c>
      <c r="X40" s="16">
        <v>4.1420000000000003</v>
      </c>
      <c r="Y40" s="16">
        <v>53.09089734281973</v>
      </c>
      <c r="Z40" s="16">
        <v>59.809993673185048</v>
      </c>
      <c r="AA40" s="16">
        <v>26.311098851249838</v>
      </c>
      <c r="AB40" s="16">
        <v>31.26</v>
      </c>
      <c r="AC40" s="16">
        <f t="shared" si="0"/>
        <v>-6.7190963303653177</v>
      </c>
      <c r="AD40" s="8"/>
      <c r="AE40" s="8"/>
      <c r="AF40" s="12"/>
      <c r="AG40" s="12"/>
      <c r="AH40" s="12"/>
      <c r="AI40" s="12"/>
      <c r="AJ40" s="12"/>
      <c r="AK40" s="7"/>
      <c r="AL40" s="7"/>
      <c r="AM40" s="7"/>
      <c r="AN40" s="7"/>
      <c r="AO40" s="7"/>
      <c r="AP40" s="7"/>
      <c r="AQ40" s="7"/>
      <c r="AR40" s="7"/>
      <c r="AS40" s="7"/>
      <c r="AT40" s="7"/>
      <c r="AU40" s="7"/>
      <c r="AV40" s="7"/>
      <c r="AW40" s="7"/>
      <c r="AX40" s="7"/>
      <c r="AY40" s="7"/>
      <c r="AZ40" s="7"/>
      <c r="BA40" s="7"/>
      <c r="BB40" s="7"/>
      <c r="BC40" s="7"/>
    </row>
    <row r="41" spans="1:55" s="10" customFormat="1" x14ac:dyDescent="0.35">
      <c r="A41" s="12" t="s">
        <v>6</v>
      </c>
      <c r="B41" s="13">
        <v>2</v>
      </c>
      <c r="C41" s="13">
        <v>2016</v>
      </c>
      <c r="D41" s="16">
        <v>7.2018190292865398</v>
      </c>
      <c r="E41" s="16">
        <v>5.0488197553321754</v>
      </c>
      <c r="F41" s="15">
        <v>2.8149579136194398</v>
      </c>
      <c r="G41" s="21">
        <v>3</v>
      </c>
      <c r="H41" s="22">
        <v>-1.115</v>
      </c>
      <c r="I41" s="16">
        <v>2.4248769999999999</v>
      </c>
      <c r="J41" s="16">
        <v>32.690600000000003</v>
      </c>
      <c r="K41" s="16">
        <v>-4.1173520787816598</v>
      </c>
      <c r="L41" s="16">
        <v>7.3</v>
      </c>
      <c r="M41" s="16">
        <v>2.1230083333333298</v>
      </c>
      <c r="N41" s="16">
        <v>5.1769916666666695</v>
      </c>
      <c r="O41" s="16">
        <v>5.3447800000000001</v>
      </c>
      <c r="P41" s="16">
        <v>78.194410000000005</v>
      </c>
      <c r="Q41" s="16">
        <v>2.280384332223591</v>
      </c>
      <c r="R41" s="16">
        <v>15.400539450186976</v>
      </c>
      <c r="S41" s="16">
        <v>5.1769910000000001</v>
      </c>
      <c r="T41" s="16">
        <v>20.044549985041556</v>
      </c>
      <c r="U41" s="16">
        <v>42.908909999999999</v>
      </c>
      <c r="V41" s="16">
        <v>20.982570828147939</v>
      </c>
      <c r="W41" s="16">
        <v>7.972997463796669</v>
      </c>
      <c r="X41" s="16">
        <v>4.5609999999999999</v>
      </c>
      <c r="Y41" s="16">
        <v>54.611354760452905</v>
      </c>
      <c r="Z41" s="16">
        <v>45.853335005573079</v>
      </c>
      <c r="AA41" s="16">
        <v>21.630055322764701</v>
      </c>
      <c r="AB41" s="16">
        <v>31.942</v>
      </c>
      <c r="AC41" s="16">
        <f t="shared" si="0"/>
        <v>8.7580197548798253</v>
      </c>
      <c r="AD41" s="8"/>
      <c r="AE41" s="8"/>
      <c r="AF41" s="12"/>
      <c r="AG41" s="12"/>
      <c r="AH41" s="12"/>
      <c r="AI41" s="12"/>
      <c r="AJ41" s="12"/>
      <c r="AK41" s="7"/>
      <c r="AL41" s="7"/>
      <c r="AM41" s="7"/>
      <c r="AN41" s="7"/>
      <c r="AO41" s="7"/>
      <c r="AP41" s="7"/>
      <c r="AQ41" s="7"/>
      <c r="AR41" s="7"/>
      <c r="AS41" s="7"/>
      <c r="AT41" s="7"/>
      <c r="AU41" s="7"/>
      <c r="AV41" s="7"/>
      <c r="AW41" s="7"/>
      <c r="AX41" s="7"/>
      <c r="AY41" s="7"/>
      <c r="AZ41" s="7"/>
      <c r="BA41" s="7"/>
      <c r="BB41" s="7"/>
      <c r="BC41" s="7"/>
    </row>
    <row r="42" spans="1:55" s="10" customFormat="1" x14ac:dyDescent="0.35">
      <c r="A42" s="12" t="s">
        <v>6</v>
      </c>
      <c r="B42" s="13">
        <v>2</v>
      </c>
      <c r="C42" s="13">
        <v>2017</v>
      </c>
      <c r="D42" s="16">
        <v>4.1130511818045647</v>
      </c>
      <c r="E42" s="16">
        <v>1.9706589152049787</v>
      </c>
      <c r="F42" s="15">
        <v>3.3082807676821901</v>
      </c>
      <c r="G42" s="21">
        <v>4.4000000000000004</v>
      </c>
      <c r="H42" s="22">
        <v>-4.9000000000000002E-2</v>
      </c>
      <c r="I42" s="16">
        <v>2.975892</v>
      </c>
      <c r="J42" s="16">
        <v>33.9876</v>
      </c>
      <c r="K42" s="16">
        <v>9.782808522632223</v>
      </c>
      <c r="L42" s="16">
        <v>6.875</v>
      </c>
      <c r="M42" s="16">
        <v>1.44418333333333</v>
      </c>
      <c r="N42" s="16">
        <v>5.4308166666666704</v>
      </c>
      <c r="O42" s="16">
        <v>5.6500380000000003</v>
      </c>
      <c r="P42" s="16">
        <v>80.200760000000002</v>
      </c>
      <c r="Q42" s="16">
        <v>1.9362940053636222</v>
      </c>
      <c r="R42" s="16">
        <v>12.406945407051625</v>
      </c>
      <c r="S42" s="16">
        <v>5.4308170000000002</v>
      </c>
      <c r="T42" s="16">
        <v>16.364233590068267</v>
      </c>
      <c r="U42" s="16">
        <v>43.532780000000002</v>
      </c>
      <c r="V42" s="16">
        <v>14.886243027101081</v>
      </c>
      <c r="W42" s="16">
        <v>5.5858089583620147</v>
      </c>
      <c r="X42" s="16">
        <v>4.5590000000000002</v>
      </c>
      <c r="Y42" s="16">
        <v>42.920042488553939</v>
      </c>
      <c r="Z42" s="16">
        <v>39.003908887795475</v>
      </c>
      <c r="AA42" s="16">
        <v>23.933496314196347</v>
      </c>
      <c r="AB42" s="16">
        <v>32.436</v>
      </c>
      <c r="AC42" s="16">
        <f t="shared" si="0"/>
        <v>3.9161336007584637</v>
      </c>
      <c r="AD42" s="8"/>
      <c r="AE42" s="8"/>
      <c r="AF42" s="12"/>
      <c r="AG42" s="12"/>
      <c r="AH42" s="12"/>
      <c r="AI42" s="12"/>
      <c r="AJ42" s="12"/>
      <c r="AK42" s="7"/>
      <c r="AL42" s="7"/>
      <c r="AM42" s="7"/>
      <c r="AN42" s="7"/>
      <c r="AO42" s="7"/>
      <c r="AP42" s="7"/>
      <c r="AQ42" s="7"/>
      <c r="AR42" s="7"/>
      <c r="AS42" s="7"/>
      <c r="AT42" s="7"/>
      <c r="AU42" s="7"/>
      <c r="AV42" s="7"/>
      <c r="AW42" s="7"/>
      <c r="AX42" s="7"/>
      <c r="AY42" s="7"/>
      <c r="AZ42" s="7"/>
      <c r="BA42" s="7"/>
      <c r="BB42" s="7"/>
      <c r="BC42" s="7"/>
    </row>
    <row r="43" spans="1:55" s="10" customFormat="1" x14ac:dyDescent="0.35">
      <c r="A43" s="12" t="s">
        <v>6</v>
      </c>
      <c r="B43" s="13">
        <v>2</v>
      </c>
      <c r="C43" s="13">
        <v>2018</v>
      </c>
      <c r="D43" s="16">
        <v>4.1898469461349777</v>
      </c>
      <c r="E43" s="16">
        <v>2.0830640619761311</v>
      </c>
      <c r="F43" s="15">
        <v>3.2380155894770999</v>
      </c>
      <c r="G43" s="21">
        <v>3</v>
      </c>
      <c r="H43" s="22">
        <v>-1.611</v>
      </c>
      <c r="I43" s="16">
        <v>2.404417</v>
      </c>
      <c r="J43" s="16">
        <v>34.981299999999997</v>
      </c>
      <c r="K43" s="16">
        <v>6.4409113357878365</v>
      </c>
      <c r="L43" s="16">
        <v>6.5</v>
      </c>
      <c r="M43" s="16">
        <v>1.5201083333333301</v>
      </c>
      <c r="N43" s="16">
        <v>4.9798916666666697</v>
      </c>
      <c r="O43" s="16">
        <v>4.791569</v>
      </c>
      <c r="P43" s="16">
        <v>78.747960000000006</v>
      </c>
      <c r="Q43" s="16">
        <v>2.755931463739024</v>
      </c>
      <c r="R43" s="16">
        <v>18.653334871752314</v>
      </c>
      <c r="S43" s="16">
        <v>4.9798920000000004</v>
      </c>
      <c r="T43" s="16">
        <v>17.654029200779402</v>
      </c>
      <c r="U43" s="16">
        <v>45.497900000000001</v>
      </c>
      <c r="V43" s="16">
        <v>17.79224255159151</v>
      </c>
      <c r="W43" s="16">
        <v>0.39294634903109638</v>
      </c>
      <c r="X43" s="16">
        <v>4.548</v>
      </c>
      <c r="Y43" s="16">
        <v>44.228143923739196</v>
      </c>
      <c r="Z43" s="16">
        <v>43.226960070910117</v>
      </c>
      <c r="AA43" s="16">
        <v>21.740494569156965</v>
      </c>
      <c r="AB43" s="16">
        <v>30.323</v>
      </c>
      <c r="AC43" s="16">
        <f t="shared" si="0"/>
        <v>1.0011838528290795</v>
      </c>
      <c r="AD43" s="8"/>
      <c r="AE43" s="8"/>
      <c r="AF43" s="12"/>
      <c r="AG43" s="12"/>
      <c r="AH43" s="12"/>
      <c r="AI43" s="12"/>
      <c r="AJ43" s="12"/>
      <c r="AK43" s="7"/>
      <c r="AL43" s="7"/>
      <c r="AM43" s="7"/>
      <c r="AN43" s="7"/>
      <c r="AO43" s="7"/>
      <c r="AP43" s="7"/>
      <c r="AQ43" s="7"/>
      <c r="AR43" s="7"/>
      <c r="AS43" s="7"/>
      <c r="AT43" s="7"/>
      <c r="AU43" s="7"/>
      <c r="AV43" s="7"/>
      <c r="AW43" s="7"/>
      <c r="AX43" s="7"/>
      <c r="AY43" s="7"/>
      <c r="AZ43" s="7"/>
      <c r="BA43" s="7"/>
      <c r="BB43" s="7"/>
      <c r="BC43" s="7"/>
    </row>
    <row r="44" spans="1:55" s="10" customFormat="1" x14ac:dyDescent="0.35">
      <c r="A44" s="12" t="s">
        <v>6</v>
      </c>
      <c r="B44" s="13">
        <v>2</v>
      </c>
      <c r="C44" s="13">
        <v>2019</v>
      </c>
      <c r="D44" s="16">
        <v>3.0325565555351375</v>
      </c>
      <c r="E44" s="16">
        <v>1.0420187819379265</v>
      </c>
      <c r="F44" s="15">
        <v>2.7728644286333002</v>
      </c>
      <c r="G44" s="21">
        <v>4.5999999999999996</v>
      </c>
      <c r="H44" s="22">
        <v>0.215</v>
      </c>
      <c r="I44" s="16">
        <v>3.0747620000000002</v>
      </c>
      <c r="J44" s="16">
        <v>36.001600000000003</v>
      </c>
      <c r="K44" s="16">
        <v>5.8588746719659133</v>
      </c>
      <c r="L44" s="16">
        <v>6.3958333333333304</v>
      </c>
      <c r="M44" s="16">
        <v>1.59236111111111</v>
      </c>
      <c r="N44" s="16">
        <v>4.8034722222222204</v>
      </c>
      <c r="O44" s="16">
        <v>4.9106139999999998</v>
      </c>
      <c r="P44" s="16">
        <v>77.916690000000003</v>
      </c>
      <c r="Q44" s="16">
        <v>2.3479171205991056</v>
      </c>
      <c r="R44" s="16">
        <v>15.550528562242519</v>
      </c>
      <c r="S44" s="16">
        <v>4.8034720000000002</v>
      </c>
      <c r="T44" s="16">
        <v>17.986827574450992</v>
      </c>
      <c r="U44" s="16">
        <v>47.497570000000003</v>
      </c>
      <c r="V44" s="16">
        <v>18.831279260957601</v>
      </c>
      <c r="W44" s="16">
        <v>-6.9050545699606181</v>
      </c>
      <c r="X44" s="16">
        <v>4.5339999999999998</v>
      </c>
      <c r="Y44" s="16">
        <v>37.087817666196251</v>
      </c>
      <c r="Z44" s="16">
        <v>46.005163718542669</v>
      </c>
      <c r="AA44" s="16">
        <v>21.098550997951275</v>
      </c>
      <c r="AB44" s="16">
        <v>30.286000000000001</v>
      </c>
      <c r="AC44" s="16">
        <f t="shared" si="0"/>
        <v>-8.9173460523464172</v>
      </c>
      <c r="AD44" s="8"/>
      <c r="AE44" s="8"/>
      <c r="AF44" s="12"/>
      <c r="AG44" s="12"/>
      <c r="AH44" s="12"/>
      <c r="AI44" s="12"/>
      <c r="AJ44" s="12"/>
      <c r="AK44" s="7"/>
      <c r="AL44" s="7"/>
      <c r="AM44" s="7"/>
      <c r="AN44" s="7"/>
      <c r="AO44" s="7"/>
      <c r="AP44" s="7"/>
      <c r="AQ44" s="7"/>
      <c r="AR44" s="7"/>
      <c r="AS44" s="7"/>
      <c r="AT44" s="7"/>
      <c r="AU44" s="7"/>
      <c r="AV44" s="7"/>
      <c r="AW44" s="7"/>
      <c r="AX44" s="7"/>
      <c r="AY44" s="7"/>
      <c r="AZ44" s="7"/>
      <c r="BA44" s="7"/>
      <c r="BB44" s="7"/>
      <c r="BC44" s="7"/>
    </row>
    <row r="45" spans="1:55" s="10" customFormat="1" x14ac:dyDescent="0.35">
      <c r="A45" s="12" t="s">
        <v>6</v>
      </c>
      <c r="B45" s="13">
        <v>2</v>
      </c>
      <c r="C45" s="13">
        <v>2020</v>
      </c>
      <c r="D45" s="16">
        <v>-8.7294514980576992</v>
      </c>
      <c r="E45" s="16">
        <v>-10.403317060149107</v>
      </c>
      <c r="F45" s="15">
        <v>1.89035916824198</v>
      </c>
      <c r="G45" s="21">
        <v>3.2</v>
      </c>
      <c r="H45" s="22">
        <v>0.77500000000000002</v>
      </c>
      <c r="I45" s="16">
        <v>4.2800130000000003</v>
      </c>
      <c r="J45" s="16">
        <v>39.80899999999999</v>
      </c>
      <c r="K45" s="16">
        <v>1.3127126860790386</v>
      </c>
      <c r="L45" s="16">
        <v>5.75</v>
      </c>
      <c r="M45" s="16">
        <v>1.55676666666667</v>
      </c>
      <c r="N45" s="16">
        <v>4.19323333333333</v>
      </c>
      <c r="O45" s="16">
        <v>4.7399469999999999</v>
      </c>
      <c r="P45" s="16">
        <v>77.832560000000001</v>
      </c>
      <c r="Q45" s="16">
        <v>1.8506995110851596</v>
      </c>
      <c r="R45" s="16">
        <v>12.517766664524665</v>
      </c>
      <c r="S45" s="16">
        <v>4.1932330000000002</v>
      </c>
      <c r="T45" s="16">
        <v>18.113695226513464</v>
      </c>
      <c r="U45" s="16">
        <v>52.020229999999998</v>
      </c>
      <c r="V45" s="16">
        <v>16.55037254761616</v>
      </c>
      <c r="W45" s="16">
        <v>-8.6361648669091551</v>
      </c>
      <c r="X45" s="16">
        <v>4.5250000000000004</v>
      </c>
      <c r="Y45" s="16">
        <v>31.290283673931924</v>
      </c>
      <c r="Z45" s="16">
        <v>46.372929142127603</v>
      </c>
      <c r="AA45" s="16">
        <v>22.274646223455296</v>
      </c>
      <c r="AB45" s="16">
        <v>30.558</v>
      </c>
      <c r="AC45" s="16">
        <f t="shared" si="0"/>
        <v>-15.082645468195679</v>
      </c>
      <c r="AD45" s="8"/>
      <c r="AE45" s="8"/>
      <c r="AF45" s="12"/>
      <c r="AG45" s="12"/>
      <c r="AH45" s="12"/>
      <c r="AI45" s="12"/>
      <c r="AJ45" s="12"/>
      <c r="AK45" s="7"/>
      <c r="AL45" s="7"/>
      <c r="AM45" s="7"/>
      <c r="AN45" s="7"/>
      <c r="AO45" s="7"/>
      <c r="AP45" s="7"/>
      <c r="AQ45" s="7"/>
      <c r="AR45" s="7"/>
      <c r="AS45" s="7"/>
      <c r="AT45" s="7"/>
      <c r="AU45" s="7"/>
      <c r="AV45" s="7"/>
      <c r="AW45" s="7"/>
      <c r="AX45" s="7"/>
      <c r="AY45" s="7"/>
      <c r="AZ45" s="7"/>
      <c r="BA45" s="7"/>
      <c r="BB45" s="7"/>
      <c r="BC45" s="7"/>
    </row>
    <row r="46" spans="1:55" s="10" customFormat="1" x14ac:dyDescent="0.35">
      <c r="A46" s="12" t="s">
        <v>6</v>
      </c>
      <c r="B46" s="13">
        <v>2</v>
      </c>
      <c r="C46" s="13">
        <v>2021</v>
      </c>
      <c r="D46" s="16">
        <v>11.870358314700027</v>
      </c>
      <c r="E46" s="16">
        <v>10.054231535289546</v>
      </c>
      <c r="F46" s="15">
        <v>7.2409776558844898</v>
      </c>
      <c r="G46" s="21">
        <v>4.5999999999999996</v>
      </c>
      <c r="H46" s="22">
        <v>1.4830000000000001</v>
      </c>
      <c r="I46" s="16">
        <v>5.4852640000000008</v>
      </c>
      <c r="J46" s="16">
        <v>43.616399999999985</v>
      </c>
      <c r="K46" s="16">
        <v>-2.8610070926865054</v>
      </c>
      <c r="L46" s="16">
        <v>5.25</v>
      </c>
      <c r="M46" s="16">
        <v>1.4329666666666701</v>
      </c>
      <c r="N46" s="16">
        <v>3.8170333333333302</v>
      </c>
      <c r="O46" s="16">
        <v>4.0279670000000003</v>
      </c>
      <c r="P46" s="16">
        <v>77.970500000000001</v>
      </c>
      <c r="Q46" s="16">
        <v>1.2319829324093654</v>
      </c>
      <c r="R46" s="16">
        <v>5.7626885979584141</v>
      </c>
      <c r="S46" s="16">
        <v>3.5829940000000002</v>
      </c>
      <c r="T46" s="16">
        <v>15.388066593988878</v>
      </c>
      <c r="U46" s="16">
        <v>48.270949999999999</v>
      </c>
      <c r="V46" s="16">
        <v>7.9349057371503884</v>
      </c>
      <c r="W46" s="16">
        <v>-0.65579662526239779</v>
      </c>
      <c r="X46" s="16">
        <v>4.5170000000000003</v>
      </c>
      <c r="Y46" s="16">
        <v>41.941889647194564</v>
      </c>
      <c r="Z46" s="16">
        <v>46.878988312451234</v>
      </c>
      <c r="AA46" s="16">
        <v>22.245980822085667</v>
      </c>
      <c r="AB46" s="16">
        <v>30.626999999999999</v>
      </c>
      <c r="AC46" s="16">
        <f t="shared" si="0"/>
        <v>-4.93709866525667</v>
      </c>
      <c r="AD46" s="8"/>
      <c r="AE46" s="8"/>
      <c r="AF46" s="12"/>
      <c r="AG46" s="12"/>
      <c r="AH46" s="12"/>
      <c r="AI46" s="12"/>
      <c r="AJ46" s="12"/>
      <c r="AK46" s="7"/>
      <c r="AL46" s="7"/>
      <c r="AM46" s="7"/>
      <c r="AN46" s="7"/>
      <c r="AO46" s="7"/>
      <c r="AP46" s="7"/>
      <c r="AQ46" s="7"/>
      <c r="AR46" s="7"/>
      <c r="AS46" s="7"/>
      <c r="AT46" s="7"/>
      <c r="AU46" s="7"/>
      <c r="AV46" s="7"/>
      <c r="AW46" s="7"/>
      <c r="AX46" s="7"/>
      <c r="AY46" s="7"/>
      <c r="AZ46" s="7"/>
      <c r="BA46" s="7"/>
      <c r="BB46" s="7"/>
      <c r="BC46" s="7"/>
    </row>
    <row r="47" spans="1:55" s="10" customFormat="1" x14ac:dyDescent="0.35">
      <c r="A47" s="12" t="s">
        <v>6</v>
      </c>
      <c r="B47" s="13">
        <v>2</v>
      </c>
      <c r="C47" s="13">
        <v>2022</v>
      </c>
      <c r="D47" s="16">
        <v>5.7823492205608886</v>
      </c>
      <c r="E47" s="16">
        <v>4.0983469984107899</v>
      </c>
      <c r="F47" s="15">
        <v>11.665567478802</v>
      </c>
      <c r="G47" s="21">
        <v>3.3</v>
      </c>
      <c r="H47" s="22">
        <v>1.7869999999999999</v>
      </c>
      <c r="I47" s="16">
        <v>6.6905150000000004</v>
      </c>
      <c r="J47" s="16">
        <v>47.423799999999972</v>
      </c>
      <c r="K47" s="16">
        <v>-7.3501510217740789</v>
      </c>
      <c r="L47" s="16">
        <v>6.1322999999999999</v>
      </c>
      <c r="M47" s="16">
        <v>1.4923375000000001</v>
      </c>
      <c r="N47" s="16">
        <v>4.6399624999999993</v>
      </c>
      <c r="O47" s="16">
        <v>3.3159869999999998</v>
      </c>
      <c r="P47" s="16">
        <v>78.108440000000002</v>
      </c>
      <c r="Q47" s="16">
        <v>3.15403999686428</v>
      </c>
      <c r="R47" s="16">
        <v>21.343384947929941</v>
      </c>
      <c r="S47" s="16">
        <v>2.9727550000000003</v>
      </c>
      <c r="T47" s="16">
        <v>15.642662338226737</v>
      </c>
      <c r="U47" s="16">
        <f>AVERAGE(U43:U46)</f>
        <v>48.321662500000002</v>
      </c>
      <c r="V47" s="16">
        <v>6.6191907974475477</v>
      </c>
      <c r="W47" s="16">
        <f>AVERAGE(W43:W46)</f>
        <v>-3.9510174282752684</v>
      </c>
      <c r="X47" s="16">
        <v>4.5199999999999996</v>
      </c>
      <c r="Y47" s="16">
        <v>43.476919334303012</v>
      </c>
      <c r="Z47" s="16">
        <v>42.003663471374317</v>
      </c>
      <c r="AA47" s="16">
        <v>22.819695734152862</v>
      </c>
      <c r="AB47" s="16">
        <v>30.646999999999998</v>
      </c>
      <c r="AC47" s="16">
        <f t="shared" si="0"/>
        <v>1.4732558629286956</v>
      </c>
      <c r="AD47" s="8"/>
      <c r="AE47" s="8"/>
      <c r="AF47" s="12"/>
      <c r="AG47" s="12"/>
      <c r="AH47" s="12"/>
      <c r="AI47" s="12"/>
      <c r="AJ47" s="12"/>
      <c r="AK47" s="7"/>
      <c r="AL47" s="7"/>
      <c r="AM47" s="7"/>
      <c r="AN47" s="7"/>
      <c r="AO47" s="7"/>
      <c r="AP47" s="7"/>
      <c r="AQ47" s="7"/>
      <c r="AR47" s="7"/>
      <c r="AS47" s="7"/>
      <c r="AT47" s="7"/>
      <c r="AU47" s="7"/>
      <c r="AV47" s="7"/>
      <c r="AW47" s="7"/>
      <c r="AX47" s="7"/>
      <c r="AY47" s="7"/>
      <c r="AZ47" s="7"/>
      <c r="BA47" s="7"/>
      <c r="BB47" s="7"/>
      <c r="BC47" s="7"/>
    </row>
    <row r="48" spans="1:55" s="10" customFormat="1" x14ac:dyDescent="0.35">
      <c r="A48" s="12" t="s">
        <v>7</v>
      </c>
      <c r="B48" s="13">
        <v>3</v>
      </c>
      <c r="C48" s="13">
        <v>2000</v>
      </c>
      <c r="D48" s="16">
        <v>1.7601737602222443</v>
      </c>
      <c r="E48" s="16">
        <v>0.56274663094035304</v>
      </c>
      <c r="F48" s="21">
        <v>9.0980000000000008</v>
      </c>
      <c r="G48" s="15">
        <v>17.120999999999999</v>
      </c>
      <c r="H48" s="22">
        <v>-0.14299999999999999</v>
      </c>
      <c r="I48" s="16">
        <v>0.49318220000000002</v>
      </c>
      <c r="J48" s="16">
        <v>10.981299999999999</v>
      </c>
      <c r="K48" s="16">
        <v>-9.0495256950280929</v>
      </c>
      <c r="L48" s="16">
        <v>14</v>
      </c>
      <c r="M48" s="16">
        <v>6.53</v>
      </c>
      <c r="N48" s="16">
        <v>7.47</v>
      </c>
      <c r="O48" s="16">
        <v>6.5201320000000003</v>
      </c>
      <c r="P48" s="16">
        <v>70.262469999999993</v>
      </c>
      <c r="Q48" s="16">
        <v>0.6595297</v>
      </c>
      <c r="R48" s="16">
        <f>AVERAGE(R51:R54)</f>
        <v>18.578344062499998</v>
      </c>
      <c r="S48" s="16">
        <v>16.00966</v>
      </c>
      <c r="T48" s="16">
        <v>36.911140000000003</v>
      </c>
      <c r="U48" s="16">
        <v>17.869959999999999</v>
      </c>
      <c r="V48" s="16">
        <f>AVERAGE(V49:V52)</f>
        <v>6.6988511973636697</v>
      </c>
      <c r="W48" s="16">
        <v>-2.6387426304848081</v>
      </c>
      <c r="X48" s="16">
        <v>2.58</v>
      </c>
      <c r="Y48" s="16">
        <v>71.269058800120106</v>
      </c>
      <c r="Z48" s="16">
        <v>85.132965087599416</v>
      </c>
      <c r="AA48" s="16">
        <v>17</v>
      </c>
      <c r="AB48" s="16">
        <v>22.084</v>
      </c>
      <c r="AC48" s="16">
        <f t="shared" si="0"/>
        <v>-13.86390628747931</v>
      </c>
      <c r="AD48" s="8"/>
      <c r="AE48" s="8"/>
      <c r="AF48" s="12"/>
      <c r="AG48" s="12"/>
      <c r="AH48" s="12"/>
      <c r="AI48" s="12"/>
      <c r="AJ48" s="12"/>
      <c r="AK48" s="7"/>
      <c r="AL48" s="7"/>
      <c r="AM48" s="7"/>
      <c r="AN48" s="7"/>
      <c r="AO48" s="7"/>
      <c r="AP48" s="7"/>
      <c r="AQ48" s="7"/>
      <c r="AR48" s="7"/>
      <c r="AS48" s="7"/>
      <c r="AT48" s="7"/>
      <c r="AU48" s="7"/>
      <c r="AV48" s="7"/>
      <c r="AW48" s="7"/>
      <c r="AX48" s="7"/>
      <c r="AY48" s="7"/>
      <c r="AZ48" s="7"/>
      <c r="BA48" s="7"/>
      <c r="BB48" s="7"/>
      <c r="BC48" s="7"/>
    </row>
    <row r="49" spans="1:29" x14ac:dyDescent="0.35">
      <c r="A49" s="12" t="s">
        <v>7</v>
      </c>
      <c r="B49" s="13">
        <v>3</v>
      </c>
      <c r="C49" s="13">
        <v>2001</v>
      </c>
      <c r="D49" s="16">
        <v>1.0547649060689253</v>
      </c>
      <c r="E49" s="16">
        <v>-2.9469897671674516E-3</v>
      </c>
      <c r="F49" s="21">
        <v>10.784000000000001</v>
      </c>
      <c r="G49" s="15">
        <v>20.323</v>
      </c>
      <c r="H49" s="22">
        <v>-0.29799999999999999</v>
      </c>
      <c r="I49" s="16">
        <v>1.1193630000000001</v>
      </c>
      <c r="J49" s="16">
        <v>8.8059200000000004</v>
      </c>
      <c r="K49" s="16">
        <v>3.9538067550732152</v>
      </c>
      <c r="L49" s="16">
        <v>13.25</v>
      </c>
      <c r="M49" s="16">
        <v>6.15</v>
      </c>
      <c r="N49" s="16">
        <v>7.1</v>
      </c>
      <c r="O49" s="16">
        <v>5.6274040000000003</v>
      </c>
      <c r="P49" s="16">
        <v>55.302619999999997</v>
      </c>
      <c r="Q49" s="16">
        <v>0.83586190000000005</v>
      </c>
      <c r="R49" s="16">
        <v>28.60178325</v>
      </c>
      <c r="S49" s="16">
        <v>15.47597</v>
      </c>
      <c r="T49" s="16">
        <v>38.4146</v>
      </c>
      <c r="U49" s="16">
        <v>16.915099999999999</v>
      </c>
      <c r="V49" s="16">
        <v>5.801915675006529</v>
      </c>
      <c r="W49" s="16">
        <v>0.58353206380640266</v>
      </c>
      <c r="X49" s="16">
        <v>2.7490000000000001</v>
      </c>
      <c r="Y49" s="16">
        <v>73.972733316427878</v>
      </c>
      <c r="Z49" s="16">
        <v>81.999181073844511</v>
      </c>
      <c r="AA49" s="16">
        <v>16.2</v>
      </c>
      <c r="AB49" s="16">
        <v>21.885000000000002</v>
      </c>
      <c r="AC49" s="16">
        <f t="shared" si="0"/>
        <v>-8.0264477574166335</v>
      </c>
    </row>
    <row r="50" spans="1:29" x14ac:dyDescent="0.35">
      <c r="A50" s="12" t="s">
        <v>7</v>
      </c>
      <c r="B50" s="13">
        <v>3</v>
      </c>
      <c r="C50" s="13">
        <v>2002</v>
      </c>
      <c r="D50" s="16">
        <v>4.3800990879008879</v>
      </c>
      <c r="E50" s="16">
        <v>3.4450767644202074</v>
      </c>
      <c r="F50" s="21">
        <v>11.486000000000001</v>
      </c>
      <c r="G50" s="15">
        <v>16.241</v>
      </c>
      <c r="H50" s="22">
        <v>-0.55500000000000005</v>
      </c>
      <c r="I50" s="16">
        <v>2.2263359999999999</v>
      </c>
      <c r="J50" s="16">
        <v>10.2376</v>
      </c>
      <c r="K50" s="16">
        <v>5.8165320811817534</v>
      </c>
      <c r="L50" s="16">
        <v>15.25</v>
      </c>
      <c r="M50" s="16">
        <v>8.0166666666666693</v>
      </c>
      <c r="N50" s="16">
        <v>7.2333333333333307</v>
      </c>
      <c r="O50" s="16">
        <v>8.0039639999999999</v>
      </c>
      <c r="P50" s="16">
        <v>65.022580000000005</v>
      </c>
      <c r="Q50" s="16">
        <v>1.5714490000000001</v>
      </c>
      <c r="R50" s="16">
        <v>21.981783249999999</v>
      </c>
      <c r="S50" s="16">
        <v>16.99194</v>
      </c>
      <c r="T50" s="16">
        <v>34.263379999999998</v>
      </c>
      <c r="U50" s="16">
        <v>18.61767</v>
      </c>
      <c r="V50" s="16">
        <v>7.7122891037235313</v>
      </c>
      <c r="W50" s="16">
        <v>2.3185046076665774</v>
      </c>
      <c r="X50" s="16">
        <v>2.9460000000000002</v>
      </c>
      <c r="Y50" s="16">
        <v>81.037802532436416</v>
      </c>
      <c r="Z50" s="16">
        <v>94.760190762383829</v>
      </c>
      <c r="AA50" s="16">
        <v>15.5</v>
      </c>
      <c r="AB50" s="16">
        <v>21.506</v>
      </c>
      <c r="AC50" s="16">
        <f t="shared" si="0"/>
        <v>-13.722388229947413</v>
      </c>
    </row>
    <row r="51" spans="1:29" x14ac:dyDescent="0.35">
      <c r="A51" s="12" t="s">
        <v>7</v>
      </c>
      <c r="B51" s="13">
        <v>3</v>
      </c>
      <c r="C51" s="13">
        <v>2003</v>
      </c>
      <c r="D51" s="16">
        <v>3.8802135859712621</v>
      </c>
      <c r="E51" s="16">
        <v>3.0964985337707418</v>
      </c>
      <c r="F51" s="21">
        <v>4.657</v>
      </c>
      <c r="G51" s="15">
        <v>16.638000000000002</v>
      </c>
      <c r="H51" s="22">
        <v>-0.34699999999999998</v>
      </c>
      <c r="I51" s="16">
        <v>2.5034649999999998</v>
      </c>
      <c r="J51" s="16">
        <v>12.749000000000001</v>
      </c>
      <c r="K51" s="16">
        <v>8.1311862819434957</v>
      </c>
      <c r="L51" s="16">
        <v>14.625</v>
      </c>
      <c r="M51" s="16">
        <v>7.5883333333333303</v>
      </c>
      <c r="N51" s="16">
        <v>7.0366666666666697</v>
      </c>
      <c r="O51" s="16">
        <v>7.3658039999999998</v>
      </c>
      <c r="P51" s="16">
        <v>79.115030000000004</v>
      </c>
      <c r="Q51" s="16">
        <v>3.0228169999999999</v>
      </c>
      <c r="R51" s="16">
        <v>22.981783249999999</v>
      </c>
      <c r="S51" s="16">
        <v>16.293959999999998</v>
      </c>
      <c r="T51" s="16">
        <v>26.716380000000001</v>
      </c>
      <c r="U51" s="16">
        <v>18.078199999999999</v>
      </c>
      <c r="V51" s="16">
        <v>7.3086620565996405</v>
      </c>
      <c r="W51" s="16">
        <v>4.0681217021550928</v>
      </c>
      <c r="X51" s="16">
        <v>3.0539999999999998</v>
      </c>
      <c r="Y51" s="16">
        <v>83.772544313616265</v>
      </c>
      <c r="Z51" s="16">
        <v>88.319486879697067</v>
      </c>
      <c r="AA51" s="16">
        <v>17.5</v>
      </c>
      <c r="AB51" s="16">
        <v>22.375</v>
      </c>
      <c r="AC51" s="16">
        <f t="shared" si="0"/>
        <v>-4.5469425660808014</v>
      </c>
    </row>
    <row r="52" spans="1:29" x14ac:dyDescent="0.35">
      <c r="A52" s="12" t="s">
        <v>7</v>
      </c>
      <c r="B52" s="13">
        <v>3</v>
      </c>
      <c r="C52" s="13">
        <v>2004</v>
      </c>
      <c r="D52" s="16">
        <v>3.6239142259662458</v>
      </c>
      <c r="E52" s="16">
        <v>2.9465149045289252</v>
      </c>
      <c r="F52" s="21">
        <v>3.226</v>
      </c>
      <c r="G52" s="15">
        <v>14.159000000000001</v>
      </c>
      <c r="H52" s="22">
        <v>-0.71199999999999997</v>
      </c>
      <c r="I52" s="16">
        <v>2.2722950000000002</v>
      </c>
      <c r="J52" s="16">
        <v>15.341200000000001</v>
      </c>
      <c r="K52" s="16">
        <v>7.1438209490860087</v>
      </c>
      <c r="L52" s="16">
        <v>11.2916666666667</v>
      </c>
      <c r="M52" s="16">
        <v>4.6308333333333298</v>
      </c>
      <c r="N52" s="16">
        <v>6.66083333333337</v>
      </c>
      <c r="O52" s="16">
        <v>7.1093890000000002</v>
      </c>
      <c r="P52" s="16">
        <v>93.425420000000003</v>
      </c>
      <c r="Q52" s="16">
        <v>3.4488979999999998</v>
      </c>
      <c r="R52" s="16">
        <v>25.588979999999999</v>
      </c>
      <c r="S52" s="16">
        <v>16.751819999999999</v>
      </c>
      <c r="T52" s="16">
        <v>22.1708</v>
      </c>
      <c r="U52" s="16">
        <v>18.112310000000001</v>
      </c>
      <c r="V52" s="16">
        <v>5.9725379541249772</v>
      </c>
      <c r="W52" s="16">
        <v>2.573927514787715</v>
      </c>
      <c r="X52" s="16">
        <v>3.0830000000000002</v>
      </c>
      <c r="Y52" s="16">
        <v>71.540742092598023</v>
      </c>
      <c r="Z52" s="16">
        <v>78.633667491042118</v>
      </c>
      <c r="AA52" s="16">
        <v>24.7</v>
      </c>
      <c r="AB52" s="16">
        <v>25.492999999999999</v>
      </c>
      <c r="AC52" s="16">
        <f t="shared" si="0"/>
        <v>-7.0929253984440948</v>
      </c>
    </row>
    <row r="53" spans="1:29" x14ac:dyDescent="0.35">
      <c r="A53" s="12" t="s">
        <v>7</v>
      </c>
      <c r="B53" s="13">
        <v>3</v>
      </c>
      <c r="C53" s="13">
        <v>2005</v>
      </c>
      <c r="D53" s="16">
        <v>5.9987765498792527</v>
      </c>
      <c r="E53" s="16">
        <v>5.3933721411656848</v>
      </c>
      <c r="F53" s="21">
        <v>7.6</v>
      </c>
      <c r="G53" s="15">
        <v>12.9</v>
      </c>
      <c r="H53" s="22">
        <v>-0.33400000000000002</v>
      </c>
      <c r="I53" s="16">
        <v>1.9047320000000001</v>
      </c>
      <c r="J53" s="16">
        <v>17.166599999999999</v>
      </c>
      <c r="K53" s="16">
        <v>3.8178473843983394</v>
      </c>
      <c r="L53" s="16">
        <v>10.625</v>
      </c>
      <c r="M53" s="16">
        <v>4.0125000000000002</v>
      </c>
      <c r="N53" s="16">
        <v>6.6124999999999998</v>
      </c>
      <c r="O53" s="16">
        <v>6.7717939999999999</v>
      </c>
      <c r="P53" s="16">
        <v>107.43259999999999</v>
      </c>
      <c r="Q53" s="16">
        <v>2.732707</v>
      </c>
      <c r="R53" s="16">
        <v>18.657299999999999</v>
      </c>
      <c r="S53" s="16">
        <v>17.317240000000002</v>
      </c>
      <c r="T53" s="16">
        <v>15.40985</v>
      </c>
      <c r="U53" s="16">
        <v>18.654440000000001</v>
      </c>
      <c r="V53" s="16">
        <v>5.1937556920945624</v>
      </c>
      <c r="W53" s="16">
        <v>-3.2297834749848082</v>
      </c>
      <c r="X53" s="16">
        <v>3.1680000000000001</v>
      </c>
      <c r="Y53" s="16">
        <v>56.783936366095276</v>
      </c>
      <c r="Z53" s="16">
        <v>67.754100734504476</v>
      </c>
      <c r="AA53" s="16">
        <v>24.5</v>
      </c>
      <c r="AB53" s="16">
        <v>25.998000000000001</v>
      </c>
      <c r="AC53" s="16">
        <f t="shared" si="0"/>
        <v>-10.970164368409201</v>
      </c>
    </row>
    <row r="54" spans="1:29" x14ac:dyDescent="0.35">
      <c r="A54" s="12" t="s">
        <v>7</v>
      </c>
      <c r="B54" s="13">
        <v>3</v>
      </c>
      <c r="C54" s="13">
        <v>2006</v>
      </c>
      <c r="D54" s="16">
        <v>5.9921668378351001</v>
      </c>
      <c r="E54" s="16">
        <v>5.4169343513384263</v>
      </c>
      <c r="F54" s="21">
        <v>4.7990000000000004</v>
      </c>
      <c r="G54" s="15">
        <v>13.997999999999999</v>
      </c>
      <c r="H54" s="22">
        <v>1.921</v>
      </c>
      <c r="I54" s="16">
        <v>1.863577</v>
      </c>
      <c r="J54" s="16">
        <v>19.069800000000001</v>
      </c>
      <c r="K54" s="16">
        <v>6.8487361981001555</v>
      </c>
      <c r="L54" s="16">
        <v>11.1666666666667</v>
      </c>
      <c r="M54" s="16">
        <v>4.93</v>
      </c>
      <c r="N54" s="16">
        <v>6.2366666666667001</v>
      </c>
      <c r="O54" s="16">
        <v>6.3212710000000003</v>
      </c>
      <c r="P54" s="16">
        <v>103.4624</v>
      </c>
      <c r="Q54" s="16">
        <v>1.004456</v>
      </c>
      <c r="R54" s="16">
        <v>7.0853130000000002</v>
      </c>
      <c r="S54" s="16">
        <v>17.258410000000001</v>
      </c>
      <c r="T54" s="16">
        <v>30.517980000000001</v>
      </c>
      <c r="U54" s="16">
        <v>18.322769999999998</v>
      </c>
      <c r="V54" s="16">
        <v>6.7699151640279549</v>
      </c>
      <c r="W54" s="16">
        <v>-5.9740150209735416</v>
      </c>
      <c r="X54" s="16">
        <v>3.2109999999999999</v>
      </c>
      <c r="Y54" s="16">
        <v>55.839630033154378</v>
      </c>
      <c r="Z54" s="16">
        <v>51.08496470147206</v>
      </c>
      <c r="AA54" s="16">
        <v>30.2</v>
      </c>
      <c r="AB54" s="16">
        <v>34.573</v>
      </c>
      <c r="AC54" s="16">
        <f t="shared" si="0"/>
        <v>4.7546653316823182</v>
      </c>
    </row>
    <row r="55" spans="1:29" x14ac:dyDescent="0.35">
      <c r="A55" s="12" t="s">
        <v>7</v>
      </c>
      <c r="B55" s="13">
        <v>3</v>
      </c>
      <c r="C55" s="13">
        <v>2007</v>
      </c>
      <c r="D55" s="16">
        <v>4.4353755768697454</v>
      </c>
      <c r="E55" s="16">
        <v>3.8310229235740962</v>
      </c>
      <c r="F55" s="21">
        <v>9.8079999999999998</v>
      </c>
      <c r="G55" s="15">
        <v>15.403</v>
      </c>
      <c r="H55" s="22">
        <v>0.57799999999999996</v>
      </c>
      <c r="I55" s="16">
        <v>1.56829</v>
      </c>
      <c r="J55" s="16">
        <v>21.2089</v>
      </c>
      <c r="K55" s="16">
        <v>7.7631036339782646</v>
      </c>
      <c r="L55" s="16">
        <v>13.1666666666667</v>
      </c>
      <c r="M55" s="16">
        <v>7.0541666666666698</v>
      </c>
      <c r="N55" s="16">
        <v>6.11250000000003</v>
      </c>
      <c r="O55" s="16">
        <v>6.8972439999999997</v>
      </c>
      <c r="P55" s="16">
        <v>103.0675</v>
      </c>
      <c r="Q55" s="16">
        <v>2.6049410000000002</v>
      </c>
      <c r="R55" s="16">
        <v>19.752590000000001</v>
      </c>
      <c r="S55" s="16">
        <v>18.94501</v>
      </c>
      <c r="T55" s="16">
        <v>24.857790000000001</v>
      </c>
      <c r="U55" s="16">
        <v>19.885940000000002</v>
      </c>
      <c r="V55" s="16">
        <v>8.2716695900892407</v>
      </c>
      <c r="W55" s="16">
        <v>-1.8891684460991482</v>
      </c>
      <c r="X55" s="16">
        <v>3.3010000000000002</v>
      </c>
      <c r="Y55" s="16">
        <v>61.074067122315888</v>
      </c>
      <c r="Z55" s="16">
        <v>53.777260946626846</v>
      </c>
      <c r="AA55" s="16">
        <v>27.2</v>
      </c>
      <c r="AB55" s="16">
        <v>31.253</v>
      </c>
      <c r="AC55" s="16">
        <f t="shared" si="0"/>
        <v>7.2968061756890421</v>
      </c>
    </row>
    <row r="56" spans="1:29" x14ac:dyDescent="0.35">
      <c r="A56" s="12" t="s">
        <v>7</v>
      </c>
      <c r="B56" s="13">
        <v>3</v>
      </c>
      <c r="C56" s="13">
        <v>2008</v>
      </c>
      <c r="D56" s="16">
        <v>0.82166391380005166</v>
      </c>
      <c r="E56" s="16">
        <v>0.27938217940726418</v>
      </c>
      <c r="F56" s="21">
        <v>12.904</v>
      </c>
      <c r="G56" s="15">
        <v>13.954000000000001</v>
      </c>
      <c r="H56" s="22">
        <v>0.43</v>
      </c>
      <c r="I56" s="16">
        <v>1.4051359999999999</v>
      </c>
      <c r="J56" s="16">
        <v>20.308900000000001</v>
      </c>
      <c r="K56" s="16">
        <v>3.9916090102185007</v>
      </c>
      <c r="L56" s="16">
        <v>14.8333333333333</v>
      </c>
      <c r="M56" s="16">
        <v>8.1666666666666696</v>
      </c>
      <c r="N56" s="16">
        <v>6.6666666666666305</v>
      </c>
      <c r="O56" s="16">
        <v>5.6218560000000002</v>
      </c>
      <c r="P56" s="16">
        <v>95.092160000000007</v>
      </c>
      <c r="Q56" s="16">
        <v>2.0863969999999998</v>
      </c>
      <c r="R56" s="16">
        <v>14.335100000000001</v>
      </c>
      <c r="S56" s="16">
        <v>21.058150000000001</v>
      </c>
      <c r="T56" s="16">
        <v>37.665610000000001</v>
      </c>
      <c r="U56" s="16">
        <v>22.079719999999998</v>
      </c>
      <c r="V56" s="16">
        <v>8.4078717171785495</v>
      </c>
      <c r="W56" s="16">
        <v>-7.019737145374898</v>
      </c>
      <c r="X56" s="16">
        <v>3.5070000000000001</v>
      </c>
      <c r="Y56" s="16">
        <v>52.951077344546007</v>
      </c>
      <c r="Z56" s="16">
        <v>60.037871522706489</v>
      </c>
      <c r="AA56" s="16">
        <v>29.8</v>
      </c>
      <c r="AB56" s="16">
        <v>33.424999999999997</v>
      </c>
      <c r="AC56" s="16">
        <f t="shared" si="0"/>
        <v>-7.0867941781604813</v>
      </c>
    </row>
    <row r="57" spans="1:29" x14ac:dyDescent="0.35">
      <c r="A57" s="12" t="s">
        <v>7</v>
      </c>
      <c r="B57" s="13">
        <v>3</v>
      </c>
      <c r="C57" s="13">
        <v>2009</v>
      </c>
      <c r="D57" s="16">
        <v>1.5650488524351545</v>
      </c>
      <c r="E57" s="16">
        <v>1.0997490083931183</v>
      </c>
      <c r="F57" s="21">
        <v>4.5010000000000003</v>
      </c>
      <c r="G57" s="15">
        <v>10.23</v>
      </c>
      <c r="H57" s="22">
        <v>-0.9</v>
      </c>
      <c r="I57" s="16">
        <v>1.4667269999999999</v>
      </c>
      <c r="J57" s="16">
        <v>20.5991</v>
      </c>
      <c r="K57" s="16">
        <v>1.4622180985372546</v>
      </c>
      <c r="L57" s="16">
        <v>11.375</v>
      </c>
      <c r="M57" s="16">
        <v>5.4033333333333298</v>
      </c>
      <c r="N57" s="16">
        <v>5.9716666666666702</v>
      </c>
      <c r="O57" s="16">
        <v>7.3601520000000002</v>
      </c>
      <c r="P57" s="16">
        <v>84.484700000000004</v>
      </c>
      <c r="Q57" s="16">
        <v>2.7309999999999999</v>
      </c>
      <c r="R57" s="16">
        <v>17.229099999999999</v>
      </c>
      <c r="S57" s="16">
        <v>24.00441</v>
      </c>
      <c r="T57" s="16">
        <v>36.557690000000001</v>
      </c>
      <c r="U57" s="16">
        <v>25.07471</v>
      </c>
      <c r="V57" s="16">
        <v>10.46037818866809</v>
      </c>
      <c r="W57" s="16">
        <v>-11.571612543213424</v>
      </c>
      <c r="X57" s="16">
        <v>3.7</v>
      </c>
      <c r="Y57" s="16">
        <v>49.587731688690631</v>
      </c>
      <c r="Z57" s="16">
        <v>57.766519428655037</v>
      </c>
      <c r="AA57" s="16">
        <v>25.2</v>
      </c>
      <c r="AB57" s="16">
        <v>29.547000000000001</v>
      </c>
      <c r="AC57" s="16">
        <f t="shared" si="0"/>
        <v>-8.178787739964406</v>
      </c>
    </row>
    <row r="58" spans="1:29" x14ac:dyDescent="0.35">
      <c r="A58" s="12" t="s">
        <v>7</v>
      </c>
      <c r="B58" s="13">
        <v>3</v>
      </c>
      <c r="C58" s="13">
        <v>2010</v>
      </c>
      <c r="D58" s="16">
        <v>3.7937549682814904</v>
      </c>
      <c r="E58" s="16">
        <v>3.3187224545438312</v>
      </c>
      <c r="F58" s="21">
        <v>4.5</v>
      </c>
      <c r="G58" s="15">
        <v>13.654999999999999</v>
      </c>
      <c r="H58" s="22">
        <v>-3.0030000000000001</v>
      </c>
      <c r="I58" s="16">
        <v>2.3801540000000001</v>
      </c>
      <c r="J58" s="16">
        <v>19.126200000000001</v>
      </c>
      <c r="K58" s="16">
        <v>6.3498099748579371</v>
      </c>
      <c r="L58" s="16">
        <v>9.75</v>
      </c>
      <c r="M58" s="16">
        <v>3.8533333333333299</v>
      </c>
      <c r="N58" s="16">
        <v>5.8966666666666701</v>
      </c>
      <c r="O58" s="16">
        <v>6.6992479999999999</v>
      </c>
      <c r="P58" s="16">
        <v>77.77055</v>
      </c>
      <c r="Q58" s="16">
        <v>2.997042</v>
      </c>
      <c r="R58" s="16">
        <v>20.57441</v>
      </c>
      <c r="S58" s="16">
        <v>25.234909999999999</v>
      </c>
      <c r="T58" s="16">
        <v>44.592309999999998</v>
      </c>
      <c r="U58" s="16">
        <v>26.36947</v>
      </c>
      <c r="V58" s="16">
        <v>12.497352921366138</v>
      </c>
      <c r="W58" s="16">
        <v>-8.7481424467767557</v>
      </c>
      <c r="X58" s="16">
        <v>3.7789999999999999</v>
      </c>
      <c r="Y58" s="16">
        <v>46.472950152118713</v>
      </c>
      <c r="Z58" s="16">
        <v>60.194493279273189</v>
      </c>
      <c r="AA58" s="16">
        <v>15.3</v>
      </c>
      <c r="AB58" s="16">
        <v>20.821000000000002</v>
      </c>
      <c r="AC58" s="16">
        <f t="shared" si="0"/>
        <v>-13.721543127154476</v>
      </c>
    </row>
    <row r="59" spans="1:29" x14ac:dyDescent="0.35">
      <c r="A59" s="12" t="s">
        <v>7</v>
      </c>
      <c r="B59" s="13">
        <v>3</v>
      </c>
      <c r="C59" s="13">
        <v>2011</v>
      </c>
      <c r="D59" s="16">
        <v>2.2472297610679988</v>
      </c>
      <c r="E59" s="16">
        <v>1.7430102280536488</v>
      </c>
      <c r="F59" s="21">
        <v>7.7629999999999999</v>
      </c>
      <c r="G59" s="15">
        <v>14.163</v>
      </c>
      <c r="H59" s="22">
        <v>-1.365</v>
      </c>
      <c r="I59" s="16">
        <v>3.481865</v>
      </c>
      <c r="J59" s="16">
        <v>22.378499999999999</v>
      </c>
      <c r="K59" s="16">
        <v>3.4735352526127237</v>
      </c>
      <c r="L59" s="16">
        <v>9</v>
      </c>
      <c r="M59" s="16">
        <v>2.85</v>
      </c>
      <c r="N59" s="16">
        <v>6.15</v>
      </c>
      <c r="O59" s="16">
        <v>5.8182090000000004</v>
      </c>
      <c r="P59" s="16">
        <v>97.1173</v>
      </c>
      <c r="Q59" s="16">
        <v>2.9647800000000002</v>
      </c>
      <c r="R59" s="16">
        <v>19.346170000000001</v>
      </c>
      <c r="S59" s="16">
        <v>23.06672</v>
      </c>
      <c r="T59" s="16">
        <v>34.710340000000002</v>
      </c>
      <c r="U59" s="16">
        <v>25.155200000000001</v>
      </c>
      <c r="V59" s="16">
        <v>10.357056891151032</v>
      </c>
      <c r="W59" s="16">
        <v>-5.8442029999212393</v>
      </c>
      <c r="X59" s="16">
        <v>3.9</v>
      </c>
      <c r="Y59" s="16">
        <v>34.827744492821175</v>
      </c>
      <c r="Z59" s="16">
        <v>45.933555133155892</v>
      </c>
      <c r="AA59" s="16">
        <v>15.5</v>
      </c>
      <c r="AB59" s="16">
        <v>20.634</v>
      </c>
      <c r="AC59" s="16">
        <f t="shared" si="0"/>
        <v>-11.105810640334717</v>
      </c>
    </row>
    <row r="60" spans="1:29" x14ac:dyDescent="0.35">
      <c r="A60" s="12" t="s">
        <v>7</v>
      </c>
      <c r="B60" s="13">
        <v>3</v>
      </c>
      <c r="C60" s="13">
        <v>2012</v>
      </c>
      <c r="D60" s="16">
        <v>5.3966306966672732</v>
      </c>
      <c r="E60" s="16">
        <v>4.8207368700589512</v>
      </c>
      <c r="F60" s="21">
        <v>8.2650000000000006</v>
      </c>
      <c r="G60" s="15">
        <v>14.831</v>
      </c>
      <c r="H60" s="22">
        <v>1.4</v>
      </c>
      <c r="I60" s="16">
        <v>3.621912</v>
      </c>
      <c r="J60" s="16">
        <v>19.188099999999999</v>
      </c>
      <c r="K60" s="16">
        <v>1.4956527642514357E-3</v>
      </c>
      <c r="L60" s="16">
        <v>8.75</v>
      </c>
      <c r="M60" s="16">
        <v>2.4649999999999999</v>
      </c>
      <c r="N60" s="16">
        <v>6.2850000000000001</v>
      </c>
      <c r="O60" s="16">
        <v>6.4848049999999997</v>
      </c>
      <c r="P60" s="16">
        <v>86.565439999999995</v>
      </c>
      <c r="Q60" s="16">
        <v>3.4671699999999999</v>
      </c>
      <c r="R60" s="16">
        <v>23.1312</v>
      </c>
      <c r="S60" s="16">
        <v>22.831160000000001</v>
      </c>
      <c r="T60" s="16">
        <v>30.592490000000002</v>
      </c>
      <c r="U60" s="16">
        <v>24.84779</v>
      </c>
      <c r="V60" s="16">
        <v>9.856242203580269</v>
      </c>
      <c r="W60" s="16">
        <v>4.9101856213012347</v>
      </c>
      <c r="X60" s="16">
        <v>4.0839999999999996</v>
      </c>
      <c r="Y60" s="16">
        <v>36.69302045227775</v>
      </c>
      <c r="Z60" s="16">
        <v>42.973847270746809</v>
      </c>
      <c r="AA60" s="16">
        <v>29.8</v>
      </c>
      <c r="AB60" s="16">
        <v>30.489000000000001</v>
      </c>
      <c r="AC60" s="16">
        <f t="shared" si="0"/>
        <v>-6.280826818469059</v>
      </c>
    </row>
    <row r="61" spans="1:29" x14ac:dyDescent="0.35">
      <c r="A61" s="12" t="s">
        <v>7</v>
      </c>
      <c r="B61" s="13">
        <v>3</v>
      </c>
      <c r="C61" s="13">
        <v>2013</v>
      </c>
      <c r="D61" s="16">
        <v>3.861213797666224</v>
      </c>
      <c r="E61" s="16">
        <v>3.2227145457899979</v>
      </c>
      <c r="F61" s="21">
        <v>4.4000000000000004</v>
      </c>
      <c r="G61" s="15">
        <v>15.257999999999999</v>
      </c>
      <c r="H61" s="22">
        <v>0.32800000000000001</v>
      </c>
      <c r="I61" s="16">
        <v>4.3199969999999999</v>
      </c>
      <c r="J61" s="16">
        <v>20.847899999999999</v>
      </c>
      <c r="K61" s="16">
        <v>1.846377912484175</v>
      </c>
      <c r="L61" s="16">
        <v>8.5</v>
      </c>
      <c r="M61" s="16">
        <v>2.08</v>
      </c>
      <c r="N61" s="16">
        <v>6.42</v>
      </c>
      <c r="O61" s="16">
        <v>4.8179080000000001</v>
      </c>
      <c r="P61" s="16">
        <v>89.489040000000003</v>
      </c>
      <c r="Q61" s="16">
        <v>2.2934580000000002</v>
      </c>
      <c r="R61" s="16">
        <v>16.698709999999998</v>
      </c>
      <c r="S61" s="16">
        <v>24.261230000000001</v>
      </c>
      <c r="T61" s="16">
        <v>25.739059999999998</v>
      </c>
      <c r="U61" s="16">
        <v>26.308579999999999</v>
      </c>
      <c r="V61" s="16">
        <v>9.115437400198525</v>
      </c>
      <c r="W61" s="16">
        <v>10.592989932972543</v>
      </c>
      <c r="X61" s="16">
        <v>4.1909999999999998</v>
      </c>
      <c r="Y61" s="16">
        <v>40.534966594620187</v>
      </c>
      <c r="Z61" s="16">
        <v>46.26632933413741</v>
      </c>
      <c r="AA61" s="16">
        <v>26.78</v>
      </c>
      <c r="AB61" s="16">
        <v>29.573</v>
      </c>
      <c r="AC61" s="16">
        <f t="shared" si="0"/>
        <v>-5.7313627395172233</v>
      </c>
    </row>
    <row r="62" spans="1:29" x14ac:dyDescent="0.35">
      <c r="A62" s="12" t="s">
        <v>7</v>
      </c>
      <c r="B62" s="13">
        <v>3</v>
      </c>
      <c r="C62" s="13">
        <v>2014</v>
      </c>
      <c r="D62" s="16">
        <v>0.92323054714435671</v>
      </c>
      <c r="E62" s="16">
        <v>0.24680246943636064</v>
      </c>
      <c r="F62" s="21">
        <v>6.1879999999999997</v>
      </c>
      <c r="G62" s="15">
        <v>14.279</v>
      </c>
      <c r="H62" s="22">
        <v>-0.53100000000000003</v>
      </c>
      <c r="I62" s="16">
        <v>3.788621</v>
      </c>
      <c r="J62" s="16">
        <v>21.163399999999999</v>
      </c>
      <c r="K62" s="16">
        <v>1.3796632640065349</v>
      </c>
      <c r="L62" s="16">
        <v>8.625</v>
      </c>
      <c r="M62" s="16">
        <v>2.14</v>
      </c>
      <c r="N62" s="16">
        <v>6.4849999999999994</v>
      </c>
      <c r="O62" s="16">
        <v>5.4566819999999998</v>
      </c>
      <c r="P62" s="16">
        <v>91.438959999999994</v>
      </c>
      <c r="Q62" s="16">
        <v>2.8068379999999999</v>
      </c>
      <c r="R62" s="16">
        <v>20.794139999999999</v>
      </c>
      <c r="S62" s="16">
        <v>22.89828</v>
      </c>
      <c r="T62" s="16">
        <v>24.747699999999998</v>
      </c>
      <c r="U62" s="16">
        <v>24.028919999999999</v>
      </c>
      <c r="V62" s="16">
        <v>10.55011731529815</v>
      </c>
      <c r="W62" s="16">
        <v>11.577836891029817</v>
      </c>
      <c r="X62" s="16">
        <v>4.3440000000000003</v>
      </c>
      <c r="Y62" s="16">
        <v>43.85441944165148</v>
      </c>
      <c r="Z62" s="16">
        <v>44.486602440356194</v>
      </c>
      <c r="AA62" s="16">
        <v>23.76</v>
      </c>
      <c r="AB62" s="16">
        <v>31.094000000000001</v>
      </c>
      <c r="AC62" s="16">
        <f t="shared" si="0"/>
        <v>-0.63218299870471384</v>
      </c>
    </row>
    <row r="63" spans="1:29" x14ac:dyDescent="0.35">
      <c r="A63" s="12" t="s">
        <v>7</v>
      </c>
      <c r="B63" s="13">
        <v>3</v>
      </c>
      <c r="C63" s="13">
        <v>2015</v>
      </c>
      <c r="D63" s="16">
        <v>2.2274806753240597</v>
      </c>
      <c r="E63" s="16">
        <v>1.4998576026545862</v>
      </c>
      <c r="F63" s="21">
        <v>4.931</v>
      </c>
      <c r="G63" s="15">
        <v>18.510000000000002</v>
      </c>
      <c r="H63" s="22">
        <v>-2.3769999999999998</v>
      </c>
      <c r="I63" s="16">
        <v>3.9323640000000002</v>
      </c>
      <c r="J63" s="16">
        <v>20.446999999999999</v>
      </c>
      <c r="K63" s="16">
        <v>3.3128995112812252</v>
      </c>
      <c r="L63" s="16">
        <v>9.0416666666666696</v>
      </c>
      <c r="M63" s="16">
        <v>2.27</v>
      </c>
      <c r="N63" s="16">
        <v>6.7716666666666701</v>
      </c>
      <c r="O63" s="16">
        <v>5.837288</v>
      </c>
      <c r="P63" s="16">
        <v>83.508269999999996</v>
      </c>
      <c r="Q63" s="16">
        <v>2.8239290000000001</v>
      </c>
      <c r="R63" s="16">
        <v>20.053740000000001</v>
      </c>
      <c r="S63" s="16">
        <v>23.595289999999999</v>
      </c>
      <c r="T63" s="16">
        <v>24.788080000000001</v>
      </c>
      <c r="U63" s="16">
        <v>24.65326</v>
      </c>
      <c r="V63" s="16">
        <v>11.793758508977795</v>
      </c>
      <c r="W63" s="16">
        <v>13.125565475599304</v>
      </c>
      <c r="X63" s="16">
        <v>4.5659999999999998</v>
      </c>
      <c r="Y63" s="16">
        <v>43.106865785148905</v>
      </c>
      <c r="Z63" s="16">
        <v>40.982845777737751</v>
      </c>
      <c r="AA63" s="16">
        <v>20.740000000000002</v>
      </c>
      <c r="AB63" s="16">
        <v>28.387</v>
      </c>
      <c r="AC63" s="16">
        <f t="shared" si="0"/>
        <v>2.1240200074111542</v>
      </c>
    </row>
    <row r="64" spans="1:29" x14ac:dyDescent="0.35">
      <c r="A64" s="12" t="s">
        <v>7</v>
      </c>
      <c r="B64" s="13">
        <v>3</v>
      </c>
      <c r="C64" s="13">
        <v>2016</v>
      </c>
      <c r="D64" s="16">
        <v>1.0626101934285259</v>
      </c>
      <c r="E64" s="16">
        <v>0.30295376928235385</v>
      </c>
      <c r="F64" s="21">
        <v>8.952</v>
      </c>
      <c r="G64" s="15">
        <v>25.178999999999998</v>
      </c>
      <c r="H64" s="22">
        <v>-5.9470000000000001</v>
      </c>
      <c r="I64" s="16">
        <v>4.5829810000000002</v>
      </c>
      <c r="J64" s="16">
        <v>21.0502</v>
      </c>
      <c r="K64" s="16">
        <v>2.8050829880900316</v>
      </c>
      <c r="L64" s="16">
        <v>10.25</v>
      </c>
      <c r="M64" s="16">
        <v>2.94</v>
      </c>
      <c r="N64" s="16">
        <v>7.3100000000000005</v>
      </c>
      <c r="O64" s="16">
        <v>7.0381549999999997</v>
      </c>
      <c r="P64" s="16">
        <v>74.926649999999995</v>
      </c>
      <c r="Q64" s="16">
        <v>2.9060299999999999</v>
      </c>
      <c r="R64" s="16">
        <v>20.17859</v>
      </c>
      <c r="S64" s="16">
        <v>27.51932</v>
      </c>
      <c r="T64" s="16">
        <v>27.397089999999999</v>
      </c>
      <c r="U64" s="16">
        <v>29.226790000000001</v>
      </c>
      <c r="V64" s="16">
        <v>12.860989519591559</v>
      </c>
      <c r="W64" s="16">
        <v>7.7940235059351757</v>
      </c>
      <c r="X64" s="16">
        <v>5.0119999999999996</v>
      </c>
      <c r="Y64" s="16">
        <v>44.059035008165971</v>
      </c>
      <c r="Z64" s="16">
        <v>42.59260180695815</v>
      </c>
      <c r="AA64" s="16">
        <v>17.72</v>
      </c>
      <c r="AB64" s="16">
        <v>24.577999999999999</v>
      </c>
      <c r="AC64" s="16">
        <f t="shared" si="0"/>
        <v>1.4664332012078205</v>
      </c>
    </row>
    <row r="65" spans="1:55" x14ac:dyDescent="0.35">
      <c r="A65" s="12" t="s">
        <v>7</v>
      </c>
      <c r="B65" s="13">
        <v>3</v>
      </c>
      <c r="C65" s="13">
        <v>2017</v>
      </c>
      <c r="D65" s="16">
        <v>2.026578155749803</v>
      </c>
      <c r="E65" s="16">
        <v>1.2409471862877979</v>
      </c>
      <c r="F65" s="21">
        <v>6.5</v>
      </c>
      <c r="G65" s="15">
        <v>31.117000000000001</v>
      </c>
      <c r="H65" s="22">
        <v>-4.8710000000000004</v>
      </c>
      <c r="I65" s="16">
        <v>5.3675480000000002</v>
      </c>
      <c r="J65" s="16">
        <v>20.914899999999999</v>
      </c>
      <c r="K65" s="16">
        <v>8.0718394410464178</v>
      </c>
      <c r="L65" s="16">
        <v>10.75</v>
      </c>
      <c r="M65" s="16">
        <v>3.2</v>
      </c>
      <c r="N65" s="16">
        <v>7.55</v>
      </c>
      <c r="O65" s="16">
        <v>7.5951870000000001</v>
      </c>
      <c r="P65" s="16">
        <v>74.331220000000002</v>
      </c>
      <c r="Q65" s="16">
        <v>2.490761</v>
      </c>
      <c r="R65" s="16">
        <v>17.327629999999999</v>
      </c>
      <c r="S65" s="16">
        <v>27.26587</v>
      </c>
      <c r="T65" s="16">
        <v>15.66629</v>
      </c>
      <c r="U65" s="16">
        <v>28.74934</v>
      </c>
      <c r="V65" s="16">
        <v>11.730418265071778</v>
      </c>
      <c r="W65" s="16">
        <v>6.1957823447171547</v>
      </c>
      <c r="X65" s="16">
        <v>5.1909999999999998</v>
      </c>
      <c r="Y65" s="16">
        <v>43.513107870515569</v>
      </c>
      <c r="Z65" s="16">
        <v>44.285260026344318</v>
      </c>
      <c r="AA65" s="16">
        <v>23</v>
      </c>
      <c r="AB65" s="16">
        <v>26.893999999999998</v>
      </c>
      <c r="AC65" s="16">
        <f t="shared" si="0"/>
        <v>-0.77215215582874919</v>
      </c>
    </row>
    <row r="66" spans="1:55" x14ac:dyDescent="0.35">
      <c r="A66" s="12" t="s">
        <v>7</v>
      </c>
      <c r="B66" s="13">
        <v>3</v>
      </c>
      <c r="C66" s="13">
        <v>2018</v>
      </c>
      <c r="D66" s="16">
        <v>2.3800954755781873</v>
      </c>
      <c r="E66" s="16">
        <v>1.5827075265556942</v>
      </c>
      <c r="F66" s="21">
        <v>4.4000000000000004</v>
      </c>
      <c r="G66" s="15">
        <v>35.298999999999999</v>
      </c>
      <c r="H66" s="22">
        <v>-3.1680000000000001</v>
      </c>
      <c r="I66" s="16">
        <v>5.3175220000000003</v>
      </c>
      <c r="J66" s="16">
        <v>20.885400000000001</v>
      </c>
      <c r="K66" s="16">
        <v>7.276562810038115</v>
      </c>
      <c r="L66" s="16">
        <v>10.3125</v>
      </c>
      <c r="M66" s="16">
        <v>3.76</v>
      </c>
      <c r="N66" s="16">
        <v>6.5525000000000002</v>
      </c>
      <c r="O66" s="16">
        <v>6.8317759999999996</v>
      </c>
      <c r="P66" s="16">
        <v>74.256770000000003</v>
      </c>
      <c r="Q66" s="16">
        <v>2.278734</v>
      </c>
      <c r="R66" s="16">
        <v>19.116859999999999</v>
      </c>
      <c r="S66" s="16">
        <v>28.613939999999999</v>
      </c>
      <c r="T66" s="16">
        <v>20.538585000000001</v>
      </c>
      <c r="U66" s="16">
        <v>29.791910000000001</v>
      </c>
      <c r="V66" s="16">
        <v>14.271906342134633</v>
      </c>
      <c r="W66" s="16">
        <v>1.3014128309334321</v>
      </c>
      <c r="X66" s="16">
        <v>5.3390000000000004</v>
      </c>
      <c r="Y66" s="16">
        <v>40.431835580796076</v>
      </c>
      <c r="Z66" s="16">
        <v>44.315652919621421</v>
      </c>
      <c r="AA66" s="16">
        <v>28.28</v>
      </c>
      <c r="AB66" s="16">
        <v>26.850999999999999</v>
      </c>
      <c r="AC66" s="16">
        <f t="shared" si="0"/>
        <v>-3.8838173388253452</v>
      </c>
    </row>
    <row r="67" spans="1:55" x14ac:dyDescent="0.35">
      <c r="A67" s="12" t="s">
        <v>7</v>
      </c>
      <c r="B67" s="13">
        <v>3</v>
      </c>
      <c r="C67" s="13">
        <v>2019</v>
      </c>
      <c r="D67" s="16">
        <v>2.692168292547521</v>
      </c>
      <c r="E67" s="16">
        <v>1.8857241389967072</v>
      </c>
      <c r="F67" s="21">
        <v>6.2</v>
      </c>
      <c r="G67" s="15">
        <v>36.119999999999997</v>
      </c>
      <c r="H67" s="22">
        <v>-1.2290000000000001</v>
      </c>
      <c r="I67" s="16">
        <v>5.2106510000000004</v>
      </c>
      <c r="J67" s="16">
        <v>20.9069</v>
      </c>
      <c r="K67" s="16">
        <v>8.2564309537175138</v>
      </c>
      <c r="L67" s="16">
        <v>10.125</v>
      </c>
      <c r="M67" s="16">
        <v>3.6850000000000001</v>
      </c>
      <c r="N67" s="16">
        <v>6.4399999999999995</v>
      </c>
      <c r="O67" s="16">
        <v>7.9605109999999994</v>
      </c>
      <c r="P67" s="16">
        <v>76.335660000000004</v>
      </c>
      <c r="Q67" s="16">
        <v>2.935047</v>
      </c>
      <c r="R67" s="16">
        <v>20.906089999999999</v>
      </c>
      <c r="S67" s="16">
        <v>26.654890000000002</v>
      </c>
      <c r="T67" s="16">
        <v>25.410879999999999</v>
      </c>
      <c r="U67" s="16">
        <v>27.773569999999999</v>
      </c>
      <c r="V67" s="16">
        <v>21.332758231991512</v>
      </c>
      <c r="W67" s="16">
        <v>3.9439259972418976</v>
      </c>
      <c r="X67" s="16">
        <v>5.468</v>
      </c>
      <c r="Y67" s="16">
        <v>45.944835477301247</v>
      </c>
      <c r="Z67" s="16">
        <v>43.243786058757536</v>
      </c>
      <c r="AA67" s="16">
        <v>28.76</v>
      </c>
      <c r="AB67" s="16">
        <v>27.173999999999999</v>
      </c>
      <c r="AC67" s="16">
        <f t="shared" ref="AC67:AC130" si="1">Y67-Z67</f>
        <v>2.7010494185437111</v>
      </c>
    </row>
    <row r="68" spans="1:55" x14ac:dyDescent="0.35">
      <c r="A68" s="12" t="s">
        <v>7</v>
      </c>
      <c r="B68" s="13">
        <v>3</v>
      </c>
      <c r="C68" s="13">
        <v>2020</v>
      </c>
      <c r="D68" s="16">
        <v>-1.5596425899949935</v>
      </c>
      <c r="E68" s="16">
        <v>-2.4802997053430715</v>
      </c>
      <c r="F68" s="21">
        <v>5</v>
      </c>
      <c r="G68" s="15">
        <v>34.347999999999999</v>
      </c>
      <c r="H68" s="22">
        <v>-0.64700000000000002</v>
      </c>
      <c r="I68" s="16">
        <v>7.3797250000000005</v>
      </c>
      <c r="J68" s="16">
        <v>21.24</v>
      </c>
      <c r="K68" s="16">
        <v>4.5834904340779925</v>
      </c>
      <c r="L68" s="16">
        <v>7.9583333333333304</v>
      </c>
      <c r="M68" s="16">
        <v>2.4658333333333302</v>
      </c>
      <c r="N68" s="16">
        <v>5.4924999999999997</v>
      </c>
      <c r="O68" s="16">
        <v>9.0892459999999993</v>
      </c>
      <c r="P68" s="16">
        <v>68.530609999999996</v>
      </c>
      <c r="Q68" s="16">
        <v>3.5913599999999999</v>
      </c>
      <c r="R68" s="16">
        <v>22.695319999999999</v>
      </c>
      <c r="S68" s="16">
        <v>29.74851</v>
      </c>
      <c r="T68" s="16">
        <v>30.283175</v>
      </c>
      <c r="U68" s="16">
        <v>31.10539</v>
      </c>
      <c r="V68" s="16">
        <v>23.755471132942748</v>
      </c>
      <c r="W68" s="16">
        <v>6.8037639624572543</v>
      </c>
      <c r="X68" s="16">
        <v>5.6020000000000003</v>
      </c>
      <c r="Y68" s="16">
        <v>44.916525846411957</v>
      </c>
      <c r="Z68" s="16">
        <v>41.967979311140319</v>
      </c>
      <c r="AA68" s="16">
        <v>29.240000000000002</v>
      </c>
      <c r="AB68" s="16">
        <v>27.477</v>
      </c>
      <c r="AC68" s="16">
        <f t="shared" si="1"/>
        <v>2.9485465352716389</v>
      </c>
    </row>
    <row r="69" spans="1:55" x14ac:dyDescent="0.35">
      <c r="A69" s="12" t="s">
        <v>7</v>
      </c>
      <c r="B69" s="13">
        <v>3</v>
      </c>
      <c r="C69" s="13">
        <v>2021</v>
      </c>
      <c r="D69" s="16">
        <v>7.8833064015731793</v>
      </c>
      <c r="E69" s="16">
        <v>6.8322261629691212</v>
      </c>
      <c r="F69" s="21">
        <v>5.9</v>
      </c>
      <c r="G69" s="15">
        <v>33.978000000000002</v>
      </c>
      <c r="H69" s="22">
        <v>-1.016</v>
      </c>
      <c r="I69" s="16">
        <v>9.5487990000000007</v>
      </c>
      <c r="J69" s="16">
        <v>21.573099999999997</v>
      </c>
      <c r="K69" s="16">
        <v>8.1007369873651029</v>
      </c>
      <c r="L69" s="16">
        <v>7.25</v>
      </c>
      <c r="M69" s="16">
        <v>1.78</v>
      </c>
      <c r="N69" s="16">
        <v>5.47</v>
      </c>
      <c r="O69" s="16">
        <v>10.217981</v>
      </c>
      <c r="P69" s="16">
        <v>71.165729999999996</v>
      </c>
      <c r="Q69" s="16">
        <v>4.2476730000000007</v>
      </c>
      <c r="R69" s="16">
        <v>24.484549999999999</v>
      </c>
      <c r="S69" s="16">
        <v>28.012869999999999</v>
      </c>
      <c r="T69" s="16">
        <v>35.155470000000001</v>
      </c>
      <c r="U69" s="16">
        <v>29.10839</v>
      </c>
      <c r="V69" s="16">
        <v>20.793825336411697</v>
      </c>
      <c r="W69" s="16">
        <v>2.6209963943443206</v>
      </c>
      <c r="X69" s="16">
        <v>5.7489999999999997</v>
      </c>
      <c r="Y69" s="16">
        <v>45.002471474998046</v>
      </c>
      <c r="Z69" s="16">
        <v>45.862860847974879</v>
      </c>
      <c r="AA69" s="16">
        <v>29.720000000000002</v>
      </c>
      <c r="AB69" s="16">
        <v>27.616</v>
      </c>
      <c r="AC69" s="16">
        <f t="shared" si="1"/>
        <v>-0.86038937297683304</v>
      </c>
    </row>
    <row r="70" spans="1:55" x14ac:dyDescent="0.35">
      <c r="A70" s="12" t="s">
        <v>7</v>
      </c>
      <c r="B70" s="13">
        <v>3</v>
      </c>
      <c r="C70" s="13">
        <v>2022</v>
      </c>
      <c r="D70" s="16">
        <v>3.914540976539115</v>
      </c>
      <c r="E70" s="16">
        <v>3.1017614525113117</v>
      </c>
      <c r="F70" s="21">
        <v>5.2</v>
      </c>
      <c r="G70" s="15">
        <v>33.615000000000002</v>
      </c>
      <c r="H70" s="22">
        <v>-1.113</v>
      </c>
      <c r="I70" s="16">
        <v>8.7178730000000009</v>
      </c>
      <c r="J70" s="16">
        <v>21.906199999999995</v>
      </c>
      <c r="K70" s="16">
        <v>-0.34531898443178399</v>
      </c>
      <c r="L70" s="16">
        <v>8.5</v>
      </c>
      <c r="M70" s="16">
        <v>2.5425</v>
      </c>
      <c r="N70" s="16">
        <v>5.9574999999999996</v>
      </c>
      <c r="O70" s="16">
        <v>8.3467160000000007</v>
      </c>
      <c r="P70" s="16">
        <v>73.800849999999997</v>
      </c>
      <c r="Q70" s="16">
        <v>4.9039859999999997</v>
      </c>
      <c r="R70" s="16">
        <v>22.273779999999999</v>
      </c>
      <c r="S70" s="16">
        <f>AVERAGE(S66:S69)</f>
        <v>28.257552500000003</v>
      </c>
      <c r="T70" s="16">
        <v>30.027764999999999</v>
      </c>
      <c r="U70" s="16">
        <f>AVERAGE(U66:U69)</f>
        <v>29.444815000000002</v>
      </c>
      <c r="V70" s="16">
        <v>15.665257513313119</v>
      </c>
      <c r="W70" s="16">
        <f>AVERAGE(W66:W69)</f>
        <v>3.6675247962442263</v>
      </c>
      <c r="X70" s="16">
        <v>5.8970000000000002</v>
      </c>
      <c r="Y70" s="16">
        <f>AVERAGE(Y66:Y69)</f>
        <v>44.073917094876833</v>
      </c>
      <c r="Z70" s="16">
        <f>AVERAGE(Z66:Z69)</f>
        <v>43.847569784373533</v>
      </c>
      <c r="AA70" s="16">
        <v>25.333333333333332</v>
      </c>
      <c r="AB70" s="16">
        <v>27.754000000000001</v>
      </c>
      <c r="AC70" s="16">
        <f t="shared" si="1"/>
        <v>0.22634731050330004</v>
      </c>
    </row>
    <row r="71" spans="1:55" x14ac:dyDescent="0.35">
      <c r="A71" s="12" t="s">
        <v>8</v>
      </c>
      <c r="B71" s="14">
        <v>4</v>
      </c>
      <c r="C71" s="13">
        <v>2000</v>
      </c>
      <c r="D71" s="16">
        <v>4.4568589377860661</v>
      </c>
      <c r="E71" s="16">
        <v>1.329252744425375</v>
      </c>
      <c r="F71" s="15">
        <v>9.8640000000000008</v>
      </c>
      <c r="G71" s="17">
        <v>107.04900000000001</v>
      </c>
      <c r="H71" s="22">
        <v>-2.8090000000000002</v>
      </c>
      <c r="I71" s="16">
        <v>1.9358930000000001</v>
      </c>
      <c r="J71" s="16">
        <v>7.3520399999999997</v>
      </c>
      <c r="K71" s="16">
        <v>13.71748553616872</v>
      </c>
      <c r="L71" s="16">
        <v>26.875</v>
      </c>
      <c r="M71" s="16">
        <v>15.0825</v>
      </c>
      <c r="N71" s="16">
        <v>11.7925</v>
      </c>
      <c r="O71" s="16">
        <v>7.2852189999999997</v>
      </c>
      <c r="P71" s="16">
        <v>62.835990000000002</v>
      </c>
      <c r="Q71" s="16">
        <v>2.80409</v>
      </c>
      <c r="R71" s="16">
        <v>28.889970000000002</v>
      </c>
      <c r="S71" s="16">
        <v>11.700379999999999</v>
      </c>
      <c r="T71" s="16">
        <v>53.637320000000003</v>
      </c>
      <c r="U71" s="16">
        <v>22.431290000000001</v>
      </c>
      <c r="V71" s="16"/>
      <c r="W71" s="16">
        <v>-5.6267580807550575</v>
      </c>
      <c r="X71" s="16">
        <v>1310.088</v>
      </c>
      <c r="Y71" s="16">
        <v>19.119668449562742</v>
      </c>
      <c r="Z71" s="16">
        <v>23.657454214409718</v>
      </c>
      <c r="AA71" s="32">
        <f>AA72/0.956</f>
        <v>9.840420930621173</v>
      </c>
      <c r="AB71" s="16">
        <v>15.513</v>
      </c>
      <c r="AC71" s="16">
        <f t="shared" si="1"/>
        <v>-4.5377857648469764</v>
      </c>
    </row>
    <row r="72" spans="1:55" s="10" customFormat="1" x14ac:dyDescent="0.35">
      <c r="A72" s="12" t="s">
        <v>8</v>
      </c>
      <c r="B72" s="14">
        <v>4</v>
      </c>
      <c r="C72" s="13">
        <v>2001</v>
      </c>
      <c r="D72" s="16">
        <v>5.9802357642470838</v>
      </c>
      <c r="E72" s="16">
        <v>2.8519231615143212</v>
      </c>
      <c r="F72" s="15">
        <v>5.6829999999999998</v>
      </c>
      <c r="G72" s="17">
        <v>98.102000000000004</v>
      </c>
      <c r="H72" s="22">
        <v>-4.34</v>
      </c>
      <c r="I72" s="16">
        <v>3.2999779999999999</v>
      </c>
      <c r="J72" s="16">
        <v>6.9794600000000004</v>
      </c>
      <c r="K72" s="16">
        <v>16.293136523366968</v>
      </c>
      <c r="L72" s="16">
        <v>25.5</v>
      </c>
      <c r="M72" s="16">
        <v>13.275</v>
      </c>
      <c r="N72" s="16">
        <v>12.225</v>
      </c>
      <c r="O72" s="16">
        <v>8.0211860000000001</v>
      </c>
      <c r="P72" s="16">
        <v>54.427390000000003</v>
      </c>
      <c r="Q72" s="16">
        <v>2.4954890000000001</v>
      </c>
      <c r="R72" s="16">
        <v>26.060749999999999</v>
      </c>
      <c r="S72" s="16">
        <v>12.82343</v>
      </c>
      <c r="T72" s="16">
        <v>58.753749999999997</v>
      </c>
      <c r="U72" s="16">
        <v>18.851299999999998</v>
      </c>
      <c r="V72" s="16"/>
      <c r="W72" s="16">
        <v>-2.5754875855315684</v>
      </c>
      <c r="X72" s="16">
        <v>1326.2380000000001</v>
      </c>
      <c r="Y72" s="16">
        <v>20.070249419802998</v>
      </c>
      <c r="Z72" s="16">
        <v>20.964876672582893</v>
      </c>
      <c r="AA72" s="32">
        <f>AA73/0.956</f>
        <v>9.4074424096738412</v>
      </c>
      <c r="AB72" s="16">
        <v>14.042</v>
      </c>
      <c r="AC72" s="16">
        <f t="shared" si="1"/>
        <v>-0.89462725277989463</v>
      </c>
      <c r="AD72" s="8"/>
      <c r="AE72" s="8"/>
      <c r="AF72" s="12"/>
      <c r="AG72" s="12"/>
      <c r="AH72" s="12"/>
      <c r="AI72" s="12"/>
      <c r="AJ72" s="12"/>
      <c r="AK72" s="7"/>
      <c r="AL72" s="7"/>
      <c r="AM72" s="7"/>
      <c r="AN72" s="7"/>
      <c r="AO72" s="7"/>
      <c r="AP72" s="7"/>
      <c r="AQ72" s="7"/>
      <c r="AR72" s="7"/>
      <c r="AS72" s="7"/>
      <c r="AT72" s="7"/>
      <c r="AU72" s="7"/>
      <c r="AV72" s="7"/>
      <c r="AW72" s="7"/>
      <c r="AX72" s="7"/>
      <c r="AY72" s="7"/>
      <c r="AZ72" s="7"/>
      <c r="BA72" s="7"/>
      <c r="BB72" s="7"/>
      <c r="BC72" s="7"/>
    </row>
    <row r="73" spans="1:55" s="10" customFormat="1" x14ac:dyDescent="0.35">
      <c r="A73" s="12" t="s">
        <v>8</v>
      </c>
      <c r="B73" s="14">
        <v>4</v>
      </c>
      <c r="C73" s="13">
        <v>2002</v>
      </c>
      <c r="D73" s="16">
        <v>-12.407971102275937</v>
      </c>
      <c r="E73" s="16">
        <v>-14.964032539789656</v>
      </c>
      <c r="F73" s="15">
        <v>13.521000000000001</v>
      </c>
      <c r="G73" s="17">
        <v>105.04600000000001</v>
      </c>
      <c r="H73" s="22">
        <v>-4.9800000000000004</v>
      </c>
      <c r="I73" s="16">
        <v>4.1752549999999999</v>
      </c>
      <c r="J73" s="16">
        <v>6.65848</v>
      </c>
      <c r="K73" s="16">
        <v>7.512090328656555</v>
      </c>
      <c r="L73" s="16">
        <v>25.25</v>
      </c>
      <c r="M73" s="16">
        <v>12</v>
      </c>
      <c r="N73" s="16">
        <v>13.25</v>
      </c>
      <c r="O73" s="16">
        <v>7.2611249999999998</v>
      </c>
      <c r="P73" s="16">
        <v>49.067869999999999</v>
      </c>
      <c r="Q73" s="16">
        <v>1.0144390000000001</v>
      </c>
      <c r="R73" s="16">
        <v>11.67146</v>
      </c>
      <c r="S73" s="16">
        <v>13.56995</v>
      </c>
      <c r="T73" s="16">
        <v>65.669839999999994</v>
      </c>
      <c r="U73" s="16">
        <v>19.943750000000001</v>
      </c>
      <c r="V73" s="16"/>
      <c r="W73" s="16">
        <v>-8.9135982855749507</v>
      </c>
      <c r="X73" s="16">
        <v>1286.954</v>
      </c>
      <c r="Y73" s="16">
        <v>21.815574405356497</v>
      </c>
      <c r="Z73" s="16">
        <v>28.366117532573341</v>
      </c>
      <c r="AA73" s="32">
        <f>AA74/0.956</f>
        <v>8.9935149436481918</v>
      </c>
      <c r="AB73" s="16">
        <v>10.163</v>
      </c>
      <c r="AC73" s="16">
        <f t="shared" si="1"/>
        <v>-6.5505431272168444</v>
      </c>
      <c r="AD73" s="8"/>
      <c r="AE73" s="8"/>
      <c r="AF73" s="12"/>
      <c r="AG73" s="12"/>
      <c r="AH73" s="12"/>
      <c r="AI73" s="12"/>
      <c r="AJ73" s="12"/>
      <c r="AK73" s="7"/>
      <c r="AL73" s="7"/>
      <c r="AM73" s="7"/>
      <c r="AN73" s="7"/>
      <c r="AO73" s="7"/>
      <c r="AP73" s="7"/>
      <c r="AQ73" s="7"/>
      <c r="AR73" s="7"/>
      <c r="AS73" s="7"/>
      <c r="AT73" s="7"/>
      <c r="AU73" s="7"/>
      <c r="AV73" s="7"/>
      <c r="AW73" s="7"/>
      <c r="AX73" s="7"/>
      <c r="AY73" s="7"/>
      <c r="AZ73" s="7"/>
      <c r="BA73" s="7"/>
      <c r="BB73" s="7"/>
      <c r="BC73" s="7"/>
    </row>
    <row r="74" spans="1:55" s="10" customFormat="1" x14ac:dyDescent="0.35">
      <c r="A74" s="12" t="s">
        <v>8</v>
      </c>
      <c r="B74" s="14">
        <v>4</v>
      </c>
      <c r="C74" s="13">
        <v>2003</v>
      </c>
      <c r="D74" s="16">
        <v>9.784892121364436</v>
      </c>
      <c r="E74" s="16">
        <v>6.6112202613272615</v>
      </c>
      <c r="F74" s="15">
        <v>-0.79</v>
      </c>
      <c r="G74" s="17">
        <v>99.709000000000003</v>
      </c>
      <c r="H74" s="22">
        <v>-3.867</v>
      </c>
      <c r="I74" s="16">
        <v>4.5588490000000004</v>
      </c>
      <c r="J74" s="16">
        <v>7.5386699999999998</v>
      </c>
      <c r="K74" s="16">
        <v>26.403929012331162</v>
      </c>
      <c r="L74" s="16">
        <v>24.25</v>
      </c>
      <c r="M74" s="16">
        <v>11.765000000000001</v>
      </c>
      <c r="N74" s="16">
        <v>12.484999999999999</v>
      </c>
      <c r="O74" s="16">
        <v>9.184564</v>
      </c>
      <c r="P74" s="16">
        <v>55.450690000000002</v>
      </c>
      <c r="Q74" s="16">
        <v>2.658585</v>
      </c>
      <c r="R74" s="16">
        <v>29.834109999999999</v>
      </c>
      <c r="S74" s="16">
        <v>13.595269999999999</v>
      </c>
      <c r="T74" s="16">
        <v>61.20749</v>
      </c>
      <c r="U74" s="16">
        <v>20.110140000000001</v>
      </c>
      <c r="V74" s="16"/>
      <c r="W74" s="16">
        <v>-5.1463263939292565</v>
      </c>
      <c r="X74" s="16">
        <v>1219.6179999999999</v>
      </c>
      <c r="Y74" s="16">
        <v>13.694162817595712</v>
      </c>
      <c r="Z74" s="16">
        <v>20.336440099879272</v>
      </c>
      <c r="AA74" s="32">
        <v>8.5978002861276703</v>
      </c>
      <c r="AB74" s="16">
        <v>15.414999999999999</v>
      </c>
      <c r="AC74" s="16">
        <f t="shared" si="1"/>
        <v>-6.6422772822835601</v>
      </c>
      <c r="AD74" s="8"/>
      <c r="AE74" s="8"/>
      <c r="AF74" s="12"/>
      <c r="AG74" s="12"/>
      <c r="AH74" s="12"/>
      <c r="AI74" s="12"/>
      <c r="AJ74" s="12"/>
      <c r="AK74" s="7"/>
      <c r="AL74" s="7"/>
      <c r="AM74" s="7"/>
      <c r="AN74" s="7"/>
      <c r="AO74" s="7"/>
      <c r="AP74" s="7"/>
      <c r="AQ74" s="7"/>
      <c r="AR74" s="7"/>
      <c r="AS74" s="7"/>
      <c r="AT74" s="7"/>
      <c r="AU74" s="7"/>
      <c r="AV74" s="7"/>
      <c r="AW74" s="7"/>
      <c r="AX74" s="7"/>
      <c r="AY74" s="7"/>
      <c r="AZ74" s="7"/>
      <c r="BA74" s="7"/>
      <c r="BB74" s="7"/>
      <c r="BC74" s="7"/>
    </row>
    <row r="75" spans="1:55" s="10" customFormat="1" x14ac:dyDescent="0.35">
      <c r="A75" s="12" t="s">
        <v>8</v>
      </c>
      <c r="B75" s="14">
        <v>4</v>
      </c>
      <c r="C75" s="13">
        <v>2004</v>
      </c>
      <c r="D75" s="16">
        <v>5.257003621480095</v>
      </c>
      <c r="E75" s="16">
        <v>2.2207475616231847</v>
      </c>
      <c r="F75" s="15">
        <v>27.327000000000002</v>
      </c>
      <c r="G75" s="17">
        <v>95.046999999999997</v>
      </c>
      <c r="H75" s="22">
        <v>-4.9119999999999999</v>
      </c>
      <c r="I75" s="16">
        <v>2.8641830000000001</v>
      </c>
      <c r="J75" s="16">
        <v>8.6072699999999998</v>
      </c>
      <c r="K75" s="16">
        <v>9.3077298637161814</v>
      </c>
      <c r="L75" s="16">
        <v>24.5625</v>
      </c>
      <c r="M75" s="16">
        <v>12.5975</v>
      </c>
      <c r="N75" s="16">
        <v>11.965</v>
      </c>
      <c r="O75" s="16">
        <v>6.6775979999999997</v>
      </c>
      <c r="P75" s="16">
        <v>58.376609999999999</v>
      </c>
      <c r="Q75" s="16">
        <v>2.7550050000000001</v>
      </c>
      <c r="R75" s="16">
        <v>30.471990000000002</v>
      </c>
      <c r="S75" s="16">
        <v>14.74438</v>
      </c>
      <c r="T75" s="16">
        <v>60.247100000000003</v>
      </c>
      <c r="U75" s="16">
        <v>20.994869999999999</v>
      </c>
      <c r="V75" s="16"/>
      <c r="W75" s="16">
        <v>-7.8779924807824182</v>
      </c>
      <c r="X75" s="16">
        <v>1869.4</v>
      </c>
      <c r="Y75" s="16">
        <v>19.457306455405774</v>
      </c>
      <c r="Z75" s="16">
        <v>29.318075429809866</v>
      </c>
      <c r="AA75" s="32">
        <v>9.3724198682296311</v>
      </c>
      <c r="AB75" s="16">
        <v>20.274000000000001</v>
      </c>
      <c r="AC75" s="16">
        <f t="shared" si="1"/>
        <v>-9.8607689744040918</v>
      </c>
      <c r="AD75" s="8"/>
      <c r="AE75" s="8"/>
      <c r="AF75" s="12"/>
      <c r="AG75" s="12"/>
      <c r="AH75" s="12"/>
      <c r="AI75" s="12"/>
      <c r="AJ75" s="12"/>
      <c r="AK75" s="7"/>
      <c r="AL75" s="7"/>
      <c r="AM75" s="7"/>
      <c r="AN75" s="7"/>
      <c r="AO75" s="7"/>
      <c r="AP75" s="7"/>
      <c r="AQ75" s="7"/>
      <c r="AR75" s="7"/>
      <c r="AS75" s="7"/>
      <c r="AT75" s="7"/>
      <c r="AU75" s="7"/>
      <c r="AV75" s="7"/>
      <c r="AW75" s="7"/>
      <c r="AX75" s="7"/>
      <c r="AY75" s="7"/>
      <c r="AZ75" s="7"/>
      <c r="BA75" s="7"/>
      <c r="BB75" s="7"/>
      <c r="BC75" s="7"/>
    </row>
    <row r="76" spans="1:55" s="10" customFormat="1" x14ac:dyDescent="0.35">
      <c r="A76" s="12" t="s">
        <v>8</v>
      </c>
      <c r="B76" s="14">
        <v>4</v>
      </c>
      <c r="C76" s="13">
        <v>2005</v>
      </c>
      <c r="D76" s="16">
        <v>4.7558450966262598</v>
      </c>
      <c r="E76" s="16">
        <v>1.7378595606401177</v>
      </c>
      <c r="F76" s="15">
        <v>11.44</v>
      </c>
      <c r="G76" s="17">
        <v>86.466999999999999</v>
      </c>
      <c r="H76" s="22">
        <v>-2.8769999999999998</v>
      </c>
      <c r="I76" s="16">
        <v>1.6430940000000001</v>
      </c>
      <c r="J76" s="16">
        <v>8.4956399999999999</v>
      </c>
      <c r="K76" s="16">
        <v>6.3458369785669344</v>
      </c>
      <c r="L76" s="16">
        <v>25.875</v>
      </c>
      <c r="M76" s="16">
        <v>16.375</v>
      </c>
      <c r="N76" s="16">
        <v>9.5</v>
      </c>
      <c r="O76" s="16">
        <v>8.4047210000000003</v>
      </c>
      <c r="P76" s="16">
        <v>69.605649999999997</v>
      </c>
      <c r="Q76" s="16">
        <v>3.7082489999999999</v>
      </c>
      <c r="R76" s="16">
        <v>39.67259</v>
      </c>
      <c r="S76" s="16">
        <v>12.20539</v>
      </c>
      <c r="T76" s="16">
        <v>54.538789999999999</v>
      </c>
      <c r="U76" s="16">
        <v>17.312740000000002</v>
      </c>
      <c r="V76" s="16"/>
      <c r="W76" s="16">
        <v>-12.530821773332001</v>
      </c>
      <c r="X76" s="16">
        <v>2159.8200000000002</v>
      </c>
      <c r="Y76" s="16">
        <v>24.319386106876191</v>
      </c>
      <c r="Z76" s="16">
        <v>34.810698828891503</v>
      </c>
      <c r="AA76" s="32">
        <v>8.6901555176453638</v>
      </c>
      <c r="AB76" s="16">
        <v>18.462</v>
      </c>
      <c r="AC76" s="16">
        <f t="shared" si="1"/>
        <v>-10.491312722015312</v>
      </c>
      <c r="AD76" s="8"/>
      <c r="AE76" s="8"/>
      <c r="AF76" s="12"/>
      <c r="AG76" s="12"/>
      <c r="AH76" s="12"/>
      <c r="AI76" s="12"/>
      <c r="AJ76" s="12"/>
      <c r="AK76" s="7"/>
      <c r="AL76" s="7"/>
      <c r="AM76" s="7"/>
      <c r="AN76" s="7"/>
      <c r="AO76" s="7"/>
      <c r="AP76" s="7"/>
      <c r="AQ76" s="7"/>
      <c r="AR76" s="7"/>
      <c r="AS76" s="7"/>
      <c r="AT76" s="7"/>
      <c r="AU76" s="7"/>
      <c r="AV76" s="7"/>
      <c r="AW76" s="7"/>
      <c r="AX76" s="7"/>
      <c r="AY76" s="7"/>
      <c r="AZ76" s="7"/>
      <c r="BA76" s="7"/>
      <c r="BB76" s="7"/>
      <c r="BC76" s="7"/>
    </row>
    <row r="77" spans="1:55" s="10" customFormat="1" x14ac:dyDescent="0.35">
      <c r="A77" s="12" t="s">
        <v>8</v>
      </c>
      <c r="B77" s="14">
        <v>4</v>
      </c>
      <c r="C77" s="13">
        <v>2006</v>
      </c>
      <c r="D77" s="16">
        <v>5.3985084500447442</v>
      </c>
      <c r="E77" s="16">
        <v>2.3584593673816556</v>
      </c>
      <c r="F77" s="15">
        <v>10.829000000000001</v>
      </c>
      <c r="G77" s="17">
        <v>37.366999999999997</v>
      </c>
      <c r="H77" s="22">
        <v>-0.45800000000000002</v>
      </c>
      <c r="I77" s="16">
        <v>2.9484889999999999</v>
      </c>
      <c r="J77" s="16">
        <v>8.7815799999999999</v>
      </c>
      <c r="K77" s="16">
        <v>15.694725630436842</v>
      </c>
      <c r="L77" s="16">
        <v>28.15</v>
      </c>
      <c r="M77" s="16">
        <v>19.8</v>
      </c>
      <c r="N77" s="16">
        <v>8.35</v>
      </c>
      <c r="O77" s="16">
        <v>10.055619999999999</v>
      </c>
      <c r="P77" s="16">
        <v>64.268330000000006</v>
      </c>
      <c r="Q77" s="16">
        <v>3.9937100000000001</v>
      </c>
      <c r="R77" s="16">
        <v>38.279089999999997</v>
      </c>
      <c r="S77" s="16">
        <v>13.52899</v>
      </c>
      <c r="T77" s="16">
        <v>55.417149999999999</v>
      </c>
      <c r="U77" s="16">
        <v>18.750150000000001</v>
      </c>
      <c r="V77" s="16">
        <v>21.598496792969907</v>
      </c>
      <c r="W77" s="16">
        <v>-9.1551743318891514</v>
      </c>
      <c r="X77" s="16">
        <v>2013.95</v>
      </c>
      <c r="Y77" s="16">
        <v>27.486913782018274</v>
      </c>
      <c r="Z77" s="16">
        <v>34.615925156819181</v>
      </c>
      <c r="AA77" s="32">
        <v>9.2018816209267538</v>
      </c>
      <c r="AB77" s="16">
        <v>20.962</v>
      </c>
      <c r="AC77" s="16">
        <f t="shared" si="1"/>
        <v>-7.129011374800907</v>
      </c>
      <c r="AD77" s="8"/>
      <c r="AE77" s="8"/>
      <c r="AF77" s="12"/>
      <c r="AG77" s="12"/>
      <c r="AH77" s="12"/>
      <c r="AI77" s="12"/>
      <c r="AJ77" s="12"/>
      <c r="AK77" s="7"/>
      <c r="AL77" s="7"/>
      <c r="AM77" s="7"/>
      <c r="AN77" s="7"/>
      <c r="AO77" s="7"/>
      <c r="AP77" s="7"/>
      <c r="AQ77" s="7"/>
      <c r="AR77" s="7"/>
      <c r="AS77" s="7"/>
      <c r="AT77" s="7"/>
      <c r="AU77" s="7"/>
      <c r="AV77" s="7"/>
      <c r="AW77" s="7"/>
      <c r="AX77" s="7"/>
      <c r="AY77" s="7"/>
      <c r="AZ77" s="7"/>
      <c r="BA77" s="7"/>
      <c r="BB77" s="7"/>
      <c r="BC77" s="7"/>
    </row>
    <row r="78" spans="1:55" s="10" customFormat="1" x14ac:dyDescent="0.35">
      <c r="A78" s="12" t="s">
        <v>8</v>
      </c>
      <c r="B78" s="14">
        <v>4</v>
      </c>
      <c r="C78" s="13">
        <v>2007</v>
      </c>
      <c r="D78" s="16">
        <v>5.7105641969030074</v>
      </c>
      <c r="E78" s="16">
        <v>2.6617483795332646</v>
      </c>
      <c r="F78" s="15">
        <v>8.2140000000000004</v>
      </c>
      <c r="G78" s="17">
        <v>32.75</v>
      </c>
      <c r="H78" s="22">
        <v>-2.6789999999999998</v>
      </c>
      <c r="I78" s="16">
        <v>3.2346080000000001</v>
      </c>
      <c r="J78" s="16">
        <v>8.7759800000000006</v>
      </c>
      <c r="K78" s="16">
        <v>27.189760299795399</v>
      </c>
      <c r="L78" s="16">
        <v>40.274999999999999</v>
      </c>
      <c r="M78" s="16">
        <v>16.5</v>
      </c>
      <c r="N78" s="16">
        <v>23.774999999999999</v>
      </c>
      <c r="O78" s="16">
        <v>9.4859259999999992</v>
      </c>
      <c r="P78" s="16">
        <v>61.950960000000002</v>
      </c>
      <c r="Q78" s="16">
        <v>3.650013</v>
      </c>
      <c r="R78" s="16">
        <v>36.121119999999998</v>
      </c>
      <c r="S78" s="16">
        <v>14.12424</v>
      </c>
      <c r="T78" s="16">
        <v>55.065480000000001</v>
      </c>
      <c r="U78" s="16">
        <v>19.447109999999999</v>
      </c>
      <c r="V78" s="16">
        <v>33.60287417577257</v>
      </c>
      <c r="W78" s="16">
        <v>-9.8857019750857624</v>
      </c>
      <c r="X78" s="16">
        <v>1786.69</v>
      </c>
      <c r="Y78" s="16">
        <v>27.796207142955591</v>
      </c>
      <c r="Z78" s="16">
        <v>38.906528215719575</v>
      </c>
      <c r="AA78" s="32">
        <v>9.8480613245243784</v>
      </c>
      <c r="AB78" s="16">
        <v>15.996</v>
      </c>
      <c r="AC78" s="16">
        <f t="shared" si="1"/>
        <v>-11.110321072763984</v>
      </c>
      <c r="AD78" s="8"/>
      <c r="AE78" s="8"/>
      <c r="AF78" s="12"/>
      <c r="AG78" s="12"/>
      <c r="AH78" s="12"/>
      <c r="AI78" s="12"/>
      <c r="AJ78" s="12"/>
      <c r="AK78" s="7"/>
      <c r="AL78" s="7"/>
      <c r="AM78" s="7"/>
      <c r="AN78" s="7"/>
      <c r="AO78" s="7"/>
      <c r="AP78" s="7"/>
      <c r="AQ78" s="7"/>
      <c r="AR78" s="7"/>
      <c r="AS78" s="7"/>
      <c r="AT78" s="7"/>
      <c r="AU78" s="7"/>
      <c r="AV78" s="7"/>
      <c r="AW78" s="7"/>
      <c r="AX78" s="7"/>
      <c r="AY78" s="7"/>
      <c r="AZ78" s="7"/>
      <c r="BA78" s="7"/>
      <c r="BB78" s="7"/>
      <c r="BC78" s="7"/>
    </row>
    <row r="79" spans="1:55" s="10" customFormat="1" x14ac:dyDescent="0.35">
      <c r="A79" s="12" t="s">
        <v>8</v>
      </c>
      <c r="B79" s="14">
        <v>4</v>
      </c>
      <c r="C79" s="13">
        <v>2008</v>
      </c>
      <c r="D79" s="16">
        <v>6.7126325424281532</v>
      </c>
      <c r="E79" s="16">
        <v>3.650496506113555</v>
      </c>
      <c r="F79" s="15">
        <v>10.141</v>
      </c>
      <c r="G79" s="17">
        <v>31.49</v>
      </c>
      <c r="H79" s="22">
        <v>-1.9630000000000001</v>
      </c>
      <c r="I79" s="16">
        <v>3.0741550000000002</v>
      </c>
      <c r="J79" s="16">
        <v>9.7021800000000002</v>
      </c>
      <c r="K79" s="16">
        <v>33.970561486009551</v>
      </c>
      <c r="L79" s="16">
        <v>44</v>
      </c>
      <c r="M79" s="16">
        <v>13.25</v>
      </c>
      <c r="N79" s="16">
        <v>30.75</v>
      </c>
      <c r="O79" s="16">
        <v>6.7360199999999999</v>
      </c>
      <c r="P79" s="16">
        <v>69.968879999999999</v>
      </c>
      <c r="Q79" s="16">
        <v>2.7126000000000001</v>
      </c>
      <c r="R79" s="16">
        <v>28.59451</v>
      </c>
      <c r="S79" s="16">
        <v>14.012119999999999</v>
      </c>
      <c r="T79" s="16">
        <v>52.911810000000003</v>
      </c>
      <c r="U79" s="16">
        <v>19.124739999999999</v>
      </c>
      <c r="V79" s="16">
        <v>34.351029728478942</v>
      </c>
      <c r="W79" s="16">
        <v>-15.636461388078962</v>
      </c>
      <c r="X79" s="16">
        <v>1860.36</v>
      </c>
      <c r="Y79" s="16">
        <v>27.707199399882388</v>
      </c>
      <c r="Z79" s="16">
        <v>46.650154560923617</v>
      </c>
      <c r="AA79" s="32">
        <v>11.391450838192517</v>
      </c>
      <c r="AB79" s="16">
        <v>15.938000000000001</v>
      </c>
      <c r="AC79" s="16">
        <f t="shared" si="1"/>
        <v>-18.94295516104123</v>
      </c>
      <c r="AD79" s="8"/>
      <c r="AE79" s="8"/>
      <c r="AF79" s="12"/>
      <c r="AG79" s="12"/>
      <c r="AH79" s="12"/>
      <c r="AI79" s="12"/>
      <c r="AJ79" s="12"/>
      <c r="AK79" s="7"/>
      <c r="AL79" s="7"/>
      <c r="AM79" s="7"/>
      <c r="AN79" s="7"/>
      <c r="AO79" s="7"/>
      <c r="AP79" s="7"/>
      <c r="AQ79" s="7"/>
      <c r="AR79" s="7"/>
      <c r="AS79" s="7"/>
      <c r="AT79" s="7"/>
      <c r="AU79" s="7"/>
      <c r="AV79" s="7"/>
      <c r="AW79" s="7"/>
      <c r="AX79" s="7"/>
      <c r="AY79" s="7"/>
      <c r="AZ79" s="7"/>
      <c r="BA79" s="7"/>
      <c r="BB79" s="7"/>
      <c r="BC79" s="7"/>
    </row>
    <row r="80" spans="1:55" s="10" customFormat="1" x14ac:dyDescent="0.35">
      <c r="A80" s="12" t="s">
        <v>8</v>
      </c>
      <c r="B80" s="14">
        <v>4</v>
      </c>
      <c r="C80" s="13">
        <v>2009</v>
      </c>
      <c r="D80" s="16">
        <v>-3.9787086128043256</v>
      </c>
      <c r="E80" s="16">
        <v>-6.7228448415583983</v>
      </c>
      <c r="F80" s="15">
        <v>7.9939999999999998</v>
      </c>
      <c r="G80" s="17">
        <v>33.677999999999997</v>
      </c>
      <c r="H80" s="22">
        <v>-2.5430000000000001</v>
      </c>
      <c r="I80" s="16">
        <v>3.689028</v>
      </c>
      <c r="J80" s="16">
        <v>10.1416</v>
      </c>
      <c r="K80" s="16">
        <v>35.247642369124669</v>
      </c>
      <c r="L80" s="16">
        <v>44.6191666666667</v>
      </c>
      <c r="M80" s="16">
        <v>11.387499999999999</v>
      </c>
      <c r="N80" s="16">
        <v>33.231670000000001</v>
      </c>
      <c r="O80" s="16">
        <v>5.5767449999999998</v>
      </c>
      <c r="P80" s="16">
        <v>66.659869999999998</v>
      </c>
      <c r="Q80" s="16">
        <v>1.6572849999999999</v>
      </c>
      <c r="R80" s="16">
        <v>18.330380000000002</v>
      </c>
      <c r="S80" s="16">
        <v>15.35965</v>
      </c>
      <c r="T80" s="16">
        <v>54.120260000000002</v>
      </c>
      <c r="U80" s="16">
        <v>20.73451</v>
      </c>
      <c r="V80" s="16">
        <v>30.883046296252036</v>
      </c>
      <c r="W80" s="16">
        <v>-18.171855768288573</v>
      </c>
      <c r="X80" s="16">
        <v>1954.64</v>
      </c>
      <c r="Y80" s="16">
        <v>20.37582983603037</v>
      </c>
      <c r="Z80" s="16">
        <v>42.035867761116272</v>
      </c>
      <c r="AA80" s="32">
        <v>8.3441489612085533</v>
      </c>
      <c r="AB80" s="16">
        <v>11.525</v>
      </c>
      <c r="AC80" s="16">
        <f t="shared" si="1"/>
        <v>-21.660037925085902</v>
      </c>
      <c r="AD80" s="8"/>
      <c r="AE80" s="8"/>
      <c r="AF80" s="12"/>
      <c r="AG80" s="12"/>
      <c r="AH80" s="12"/>
      <c r="AI80" s="12"/>
      <c r="AJ80" s="12"/>
      <c r="AK80" s="7"/>
      <c r="AL80" s="7"/>
      <c r="AM80" s="7"/>
      <c r="AN80" s="7"/>
      <c r="AO80" s="7"/>
      <c r="AP80" s="7"/>
      <c r="AQ80" s="7"/>
      <c r="AR80" s="7"/>
      <c r="AS80" s="7"/>
      <c r="AT80" s="7"/>
      <c r="AU80" s="7"/>
      <c r="AV80" s="7"/>
      <c r="AW80" s="7"/>
      <c r="AX80" s="7"/>
      <c r="AY80" s="7"/>
      <c r="AZ80" s="7"/>
      <c r="BA80" s="7"/>
      <c r="BB80" s="7"/>
      <c r="BC80" s="7"/>
    </row>
    <row r="81" spans="1:55" s="10" customFormat="1" x14ac:dyDescent="0.35">
      <c r="A81" s="12" t="s">
        <v>8</v>
      </c>
      <c r="B81" s="14">
        <v>4</v>
      </c>
      <c r="C81" s="13">
        <v>2010</v>
      </c>
      <c r="D81" s="16">
        <v>0.61923974584779273</v>
      </c>
      <c r="E81" s="16">
        <v>-2.2235258142748791</v>
      </c>
      <c r="F81" s="15">
        <v>10.195</v>
      </c>
      <c r="G81" s="17">
        <v>31.69</v>
      </c>
      <c r="H81" s="22">
        <v>-0.86899999999999999</v>
      </c>
      <c r="I81" s="16">
        <v>3.4521809999999999</v>
      </c>
      <c r="J81" s="16">
        <v>10.8687</v>
      </c>
      <c r="K81" s="16">
        <v>32.464101442898148</v>
      </c>
      <c r="L81" s="16">
        <v>46</v>
      </c>
      <c r="M81" s="16">
        <v>10.2916666666667</v>
      </c>
      <c r="N81" s="16">
        <v>35.708329999999997</v>
      </c>
      <c r="O81" s="16">
        <v>4.598052</v>
      </c>
      <c r="P81" s="16">
        <v>68.713059999999999</v>
      </c>
      <c r="Q81" s="16">
        <v>1.1632549999999999</v>
      </c>
      <c r="R81" s="16">
        <v>12.73057</v>
      </c>
      <c r="S81" s="16">
        <v>14.88391</v>
      </c>
      <c r="T81" s="16">
        <v>54.457500000000003</v>
      </c>
      <c r="U81" s="16">
        <v>20.516120000000001</v>
      </c>
      <c r="V81" s="16">
        <v>26.15993494367083</v>
      </c>
      <c r="W81" s="16">
        <v>-8.9485361712922185</v>
      </c>
      <c r="X81" s="16">
        <v>2146.12</v>
      </c>
      <c r="Y81" s="16">
        <v>21.874380518556048</v>
      </c>
      <c r="Z81" s="16">
        <v>36.000513991347205</v>
      </c>
      <c r="AA81" s="32">
        <v>8.535319117555952</v>
      </c>
      <c r="AB81" s="16">
        <v>13.173</v>
      </c>
      <c r="AC81" s="16">
        <f t="shared" si="1"/>
        <v>-14.126133472791157</v>
      </c>
      <c r="AD81" s="8"/>
      <c r="AE81" s="8"/>
      <c r="AF81" s="12"/>
      <c r="AG81" s="12"/>
      <c r="AH81" s="12"/>
      <c r="AI81" s="12"/>
      <c r="AJ81" s="12"/>
      <c r="AK81" s="7"/>
      <c r="AL81" s="7"/>
      <c r="AM81" s="7"/>
      <c r="AN81" s="7"/>
      <c r="AO81" s="7"/>
      <c r="AP81" s="7"/>
      <c r="AQ81" s="7"/>
      <c r="AR81" s="7"/>
      <c r="AS81" s="7"/>
      <c r="AT81" s="7"/>
      <c r="AU81" s="7"/>
      <c r="AV81" s="7"/>
      <c r="AW81" s="7"/>
      <c r="AX81" s="7"/>
      <c r="AY81" s="7"/>
      <c r="AZ81" s="7"/>
      <c r="BA81" s="7"/>
      <c r="BB81" s="7"/>
      <c r="BC81" s="7"/>
    </row>
    <row r="82" spans="1:55" s="10" customFormat="1" x14ac:dyDescent="0.35">
      <c r="A82" s="12" t="s">
        <v>8</v>
      </c>
      <c r="B82" s="14">
        <v>4</v>
      </c>
      <c r="C82" s="13">
        <v>2011</v>
      </c>
      <c r="D82" s="16">
        <v>1.5784270512272371</v>
      </c>
      <c r="E82" s="16">
        <v>-1.2264822046249719</v>
      </c>
      <c r="F82" s="15">
        <v>6.9029999999999996</v>
      </c>
      <c r="G82" s="17">
        <v>32.180999999999997</v>
      </c>
      <c r="H82" s="22">
        <v>-2.3860000000000001</v>
      </c>
      <c r="I82" s="16">
        <v>3.9954049999999999</v>
      </c>
      <c r="J82" s="16">
        <v>10.180300000000001</v>
      </c>
      <c r="K82" s="16">
        <v>38.151342986962007</v>
      </c>
      <c r="L82" s="16">
        <v>52.5</v>
      </c>
      <c r="M82" s="16">
        <v>10.65</v>
      </c>
      <c r="N82" s="16">
        <v>41.85</v>
      </c>
      <c r="O82" s="16">
        <v>6.7442869999999999</v>
      </c>
      <c r="P82" s="16">
        <v>62.704180000000001</v>
      </c>
      <c r="Q82" s="16">
        <v>2.3055270000000001</v>
      </c>
      <c r="R82" s="16">
        <v>24.34366</v>
      </c>
      <c r="S82" s="16">
        <v>15.039580000000001</v>
      </c>
      <c r="T82" s="16">
        <v>54.105780000000003</v>
      </c>
      <c r="U82" s="16">
        <v>21.35745</v>
      </c>
      <c r="V82" s="16">
        <v>36.207413851213794</v>
      </c>
      <c r="W82" s="16">
        <v>-6.7277511442434923</v>
      </c>
      <c r="X82" s="16">
        <v>2247.48</v>
      </c>
      <c r="Y82" s="16">
        <v>22.719638676559288</v>
      </c>
      <c r="Z82" s="16">
        <v>33.763453919837247</v>
      </c>
      <c r="AA82" s="32">
        <v>8.7103236377338469</v>
      </c>
      <c r="AB82" s="16">
        <v>11.675000000000001</v>
      </c>
      <c r="AC82" s="16">
        <f t="shared" si="1"/>
        <v>-11.043815243277958</v>
      </c>
      <c r="AD82" s="8"/>
      <c r="AE82" s="8"/>
      <c r="AF82" s="12"/>
      <c r="AG82" s="12"/>
      <c r="AH82" s="12"/>
      <c r="AI82" s="12"/>
      <c r="AJ82" s="12"/>
      <c r="AK82" s="7"/>
      <c r="AL82" s="7"/>
      <c r="AM82" s="7"/>
      <c r="AN82" s="7"/>
      <c r="AO82" s="7"/>
      <c r="AP82" s="7"/>
      <c r="AQ82" s="7"/>
      <c r="AR82" s="7"/>
      <c r="AS82" s="7"/>
      <c r="AT82" s="7"/>
      <c r="AU82" s="7"/>
      <c r="AV82" s="7"/>
      <c r="AW82" s="7"/>
      <c r="AX82" s="7"/>
      <c r="AY82" s="7"/>
      <c r="AZ82" s="7"/>
      <c r="BA82" s="7"/>
      <c r="BB82" s="7"/>
      <c r="BC82" s="7"/>
    </row>
    <row r="83" spans="1:55" s="10" customFormat="1" x14ac:dyDescent="0.35">
      <c r="A83" s="12" t="s">
        <v>8</v>
      </c>
      <c r="B83" s="14">
        <v>4</v>
      </c>
      <c r="C83" s="13">
        <v>2012</v>
      </c>
      <c r="D83" s="16">
        <v>3.0111481150705686</v>
      </c>
      <c r="E83" s="16">
        <v>0.23884683940424623</v>
      </c>
      <c r="F83" s="15">
        <v>5.7779999999999996</v>
      </c>
      <c r="G83" s="17">
        <v>33.029000000000003</v>
      </c>
      <c r="H83" s="22">
        <v>-2.6120000000000001</v>
      </c>
      <c r="I83" s="16">
        <v>4.5917289999999999</v>
      </c>
      <c r="J83" s="16">
        <v>10.1167</v>
      </c>
      <c r="K83" s="16">
        <v>48.033244019721053</v>
      </c>
      <c r="L83" s="16">
        <v>56.125</v>
      </c>
      <c r="M83" s="16">
        <v>10.4</v>
      </c>
      <c r="N83" s="16">
        <v>45.725000000000001</v>
      </c>
      <c r="O83" s="16">
        <v>6.1150469999999997</v>
      </c>
      <c r="P83" s="16">
        <v>62.571710000000003</v>
      </c>
      <c r="Q83" s="16">
        <v>1.8271649999999999</v>
      </c>
      <c r="R83" s="16">
        <v>19.783840000000001</v>
      </c>
      <c r="S83" s="16">
        <v>15.082330000000001</v>
      </c>
      <c r="T83" s="16">
        <v>49.604599999999998</v>
      </c>
      <c r="U83" s="16">
        <v>21.052350000000001</v>
      </c>
      <c r="V83" s="16">
        <v>34.690105844141492</v>
      </c>
      <c r="W83" s="16">
        <v>-7.4627101770492681</v>
      </c>
      <c r="X83" s="16">
        <v>2270.56</v>
      </c>
      <c r="Y83" s="16">
        <v>21.780692102777149</v>
      </c>
      <c r="Z83" s="16">
        <v>30.871021977933992</v>
      </c>
      <c r="AA83" s="32">
        <v>8.3682555430776944</v>
      </c>
      <c r="AB83" s="16">
        <v>10.83</v>
      </c>
      <c r="AC83" s="16">
        <f t="shared" si="1"/>
        <v>-9.0903298751568435</v>
      </c>
      <c r="AD83" s="8"/>
      <c r="AE83" s="8"/>
      <c r="AF83" s="12"/>
      <c r="AG83" s="12"/>
      <c r="AH83" s="12"/>
      <c r="AI83" s="12"/>
      <c r="AJ83" s="12"/>
      <c r="AK83" s="7"/>
      <c r="AL83" s="7"/>
      <c r="AM83" s="7"/>
      <c r="AN83" s="7"/>
      <c r="AO83" s="7"/>
      <c r="AP83" s="7"/>
      <c r="AQ83" s="7"/>
      <c r="AR83" s="7"/>
      <c r="AS83" s="7"/>
      <c r="AT83" s="7"/>
      <c r="AU83" s="7"/>
      <c r="AV83" s="7"/>
      <c r="AW83" s="7"/>
      <c r="AX83" s="7"/>
      <c r="AY83" s="7"/>
      <c r="AZ83" s="7"/>
      <c r="BA83" s="7"/>
      <c r="BB83" s="7"/>
      <c r="BC83" s="7"/>
    </row>
    <row r="84" spans="1:55" s="10" customFormat="1" x14ac:dyDescent="0.35">
      <c r="A84" s="12" t="s">
        <v>8</v>
      </c>
      <c r="B84" s="14">
        <v>4</v>
      </c>
      <c r="C84" s="13">
        <v>2013</v>
      </c>
      <c r="D84" s="16">
        <v>2.300376232135946</v>
      </c>
      <c r="E84" s="16">
        <v>-0.3964845861919315</v>
      </c>
      <c r="F84" s="15">
        <v>6.258</v>
      </c>
      <c r="G84" s="17">
        <v>33.890999999999998</v>
      </c>
      <c r="H84" s="22">
        <v>-3.988</v>
      </c>
      <c r="I84" s="16">
        <v>3.9502359999999999</v>
      </c>
      <c r="J84" s="16">
        <v>11.083299999999999</v>
      </c>
      <c r="K84" s="16">
        <v>50.760103202622268</v>
      </c>
      <c r="L84" s="16">
        <v>58.98</v>
      </c>
      <c r="M84" s="16">
        <v>10.1458333333333</v>
      </c>
      <c r="N84" s="16">
        <v>48.83417</v>
      </c>
      <c r="O84" s="16">
        <v>6.3713600000000001</v>
      </c>
      <c r="P84" s="16">
        <v>70.353319999999997</v>
      </c>
      <c r="Q84" s="16">
        <v>2.4028239999999998</v>
      </c>
      <c r="R84" s="16">
        <v>24.824369999999998</v>
      </c>
      <c r="S84" s="16">
        <v>14.477690000000001</v>
      </c>
      <c r="T84" s="16">
        <v>40.685920000000003</v>
      </c>
      <c r="U84" s="16">
        <v>20.343060000000001</v>
      </c>
      <c r="V84" s="16">
        <v>25.226266140362842</v>
      </c>
      <c r="W84" s="16">
        <v>-6.5054985420335942</v>
      </c>
      <c r="X84" s="16">
        <v>2236.09</v>
      </c>
      <c r="Y84" s="16">
        <v>23.272166078285817</v>
      </c>
      <c r="Z84" s="16">
        <v>33.095415712835297</v>
      </c>
      <c r="AA84" s="32">
        <v>8.7855917729324702</v>
      </c>
      <c r="AB84" s="16">
        <v>10.897</v>
      </c>
      <c r="AC84" s="16">
        <f t="shared" si="1"/>
        <v>-9.8232496345494802</v>
      </c>
      <c r="AD84" s="8"/>
      <c r="AE84" s="8"/>
      <c r="AF84" s="12"/>
      <c r="AG84" s="12"/>
      <c r="AH84" s="12"/>
      <c r="AI84" s="12"/>
      <c r="AJ84" s="12"/>
      <c r="AK84" s="7"/>
      <c r="AL84" s="7"/>
      <c r="AM84" s="7"/>
      <c r="AN84" s="7"/>
      <c r="AO84" s="7"/>
      <c r="AP84" s="7"/>
      <c r="AQ84" s="7"/>
      <c r="AR84" s="7"/>
      <c r="AS84" s="7"/>
      <c r="AT84" s="7"/>
      <c r="AU84" s="7"/>
      <c r="AV84" s="7"/>
      <c r="AW84" s="7"/>
      <c r="AX84" s="7"/>
      <c r="AY84" s="7"/>
      <c r="AZ84" s="7"/>
      <c r="BA84" s="7"/>
      <c r="BB84" s="7"/>
      <c r="BC84" s="7"/>
    </row>
    <row r="85" spans="1:55" s="10" customFormat="1" x14ac:dyDescent="0.35">
      <c r="A85" s="12" t="s">
        <v>8</v>
      </c>
      <c r="B85" s="14">
        <v>4</v>
      </c>
      <c r="C85" s="13">
        <v>2014</v>
      </c>
      <c r="D85" s="16">
        <v>3.339203113050246</v>
      </c>
      <c r="E85" s="16">
        <v>0.65969122171480876</v>
      </c>
      <c r="F85" s="15">
        <v>6.0259999999999998</v>
      </c>
      <c r="G85" s="17">
        <v>34.651000000000003</v>
      </c>
      <c r="H85" s="22">
        <v>-2.2999999999999998</v>
      </c>
      <c r="I85" s="16">
        <v>3.3095829999999999</v>
      </c>
      <c r="J85" s="16">
        <v>11.6678</v>
      </c>
      <c r="K85" s="16">
        <v>49.908503142210527</v>
      </c>
      <c r="L85" s="16">
        <v>60</v>
      </c>
      <c r="M85" s="16">
        <v>10.954166666666699</v>
      </c>
      <c r="N85" s="16">
        <v>49.045830000000002</v>
      </c>
      <c r="O85" s="16">
        <v>6.5852380000000004</v>
      </c>
      <c r="P85" s="16">
        <v>75.366320000000002</v>
      </c>
      <c r="Q85" s="16">
        <v>3.1067339999999999</v>
      </c>
      <c r="R85" s="16">
        <v>29.346920000000001</v>
      </c>
      <c r="S85" s="16">
        <v>14.56284</v>
      </c>
      <c r="T85" s="16">
        <v>37.843029999999999</v>
      </c>
      <c r="U85" s="16">
        <v>20.601479999999999</v>
      </c>
      <c r="V85" s="16">
        <v>21.73593643542047</v>
      </c>
      <c r="W85" s="16">
        <v>-0.64912376649424364</v>
      </c>
      <c r="X85" s="16">
        <v>2596.73</v>
      </c>
      <c r="Y85" s="16">
        <v>28.281911974444853</v>
      </c>
      <c r="Z85" s="16">
        <v>33.687520237591393</v>
      </c>
      <c r="AA85" s="32">
        <v>8.4411333821428833</v>
      </c>
      <c r="AB85" s="16">
        <v>12.43</v>
      </c>
      <c r="AC85" s="16">
        <f t="shared" si="1"/>
        <v>-5.4056082631465401</v>
      </c>
      <c r="AD85" s="8"/>
      <c r="AE85" s="8"/>
      <c r="AF85" s="12"/>
      <c r="AG85" s="12"/>
      <c r="AH85" s="12"/>
      <c r="AI85" s="12"/>
      <c r="AJ85" s="12"/>
      <c r="AK85" s="7"/>
      <c r="AL85" s="7"/>
      <c r="AM85" s="7"/>
      <c r="AN85" s="7"/>
      <c r="AO85" s="7"/>
      <c r="AP85" s="7"/>
      <c r="AQ85" s="7"/>
      <c r="AR85" s="7"/>
      <c r="AS85" s="7"/>
      <c r="AT85" s="7"/>
      <c r="AU85" s="7"/>
      <c r="AV85" s="7"/>
      <c r="AW85" s="7"/>
      <c r="AX85" s="7"/>
      <c r="AY85" s="7"/>
      <c r="AZ85" s="7"/>
      <c r="BA85" s="7"/>
      <c r="BB85" s="7"/>
      <c r="BC85" s="7"/>
    </row>
    <row r="86" spans="1:55" s="10" customFormat="1" x14ac:dyDescent="0.35">
      <c r="A86" s="12" t="s">
        <v>8</v>
      </c>
      <c r="B86" s="14">
        <v>4</v>
      </c>
      <c r="C86" s="13">
        <v>2015</v>
      </c>
      <c r="D86" s="16">
        <v>3.1322980726386902</v>
      </c>
      <c r="E86" s="16">
        <v>0.49728778371853366</v>
      </c>
      <c r="F86" s="15">
        <v>7.5629999999999997</v>
      </c>
      <c r="G86" s="17">
        <v>35.533000000000001</v>
      </c>
      <c r="H86" s="22">
        <v>-3.3119999999999998</v>
      </c>
      <c r="I86" s="16">
        <v>3.2460979999999999</v>
      </c>
      <c r="J86" s="16">
        <v>12.310600000000001</v>
      </c>
      <c r="K86" s="16">
        <v>47.146664486462456</v>
      </c>
      <c r="L86" s="16">
        <v>56.716666666666697</v>
      </c>
      <c r="M86" s="16">
        <v>14.6666666666667</v>
      </c>
      <c r="N86" s="16">
        <v>42.05</v>
      </c>
      <c r="O86" s="16">
        <v>7.3679480000000002</v>
      </c>
      <c r="P86" s="16">
        <v>75.294640000000001</v>
      </c>
      <c r="Q86" s="16">
        <v>3.491158</v>
      </c>
      <c r="R86" s="16">
        <v>31.031459999999999</v>
      </c>
      <c r="S86" s="16">
        <v>15.232060000000001</v>
      </c>
      <c r="T86" s="16">
        <v>46.094949999999997</v>
      </c>
      <c r="U86" s="16">
        <v>21.602530000000002</v>
      </c>
      <c r="V86" s="16">
        <v>20.836006012970955</v>
      </c>
      <c r="W86" s="16">
        <v>-2.2594184136693767</v>
      </c>
      <c r="X86" s="16">
        <v>3199.21</v>
      </c>
      <c r="Y86" s="16">
        <v>28.390646129940038</v>
      </c>
      <c r="Z86" s="16">
        <v>32.829732705615392</v>
      </c>
      <c r="AA86" s="32">
        <v>8.9453103734499653</v>
      </c>
      <c r="AB86" s="16">
        <v>11.827999999999999</v>
      </c>
      <c r="AC86" s="16">
        <f t="shared" si="1"/>
        <v>-4.4390865756753541</v>
      </c>
      <c r="AD86" s="8"/>
      <c r="AE86" s="8"/>
      <c r="AF86" s="12"/>
      <c r="AG86" s="12"/>
      <c r="AH86" s="12"/>
      <c r="AI86" s="12"/>
      <c r="AJ86" s="12"/>
      <c r="AK86" s="7"/>
      <c r="AL86" s="7"/>
      <c r="AM86" s="7"/>
      <c r="AN86" s="7"/>
      <c r="AO86" s="7"/>
      <c r="AP86" s="7"/>
      <c r="AQ86" s="7"/>
      <c r="AR86" s="7"/>
      <c r="AS86" s="7"/>
      <c r="AT86" s="7"/>
      <c r="AU86" s="7"/>
      <c r="AV86" s="7"/>
      <c r="AW86" s="7"/>
      <c r="AX86" s="7"/>
      <c r="AY86" s="7"/>
      <c r="AZ86" s="7"/>
      <c r="BA86" s="7"/>
      <c r="BB86" s="7"/>
      <c r="BC86" s="7"/>
    </row>
    <row r="87" spans="1:55" s="10" customFormat="1" x14ac:dyDescent="0.35">
      <c r="A87" s="12" t="s">
        <v>8</v>
      </c>
      <c r="B87" s="14">
        <v>4</v>
      </c>
      <c r="C87" s="13">
        <v>2016</v>
      </c>
      <c r="D87" s="16">
        <v>3.9931460641238914</v>
      </c>
      <c r="E87" s="16">
        <v>1.3383460279627002</v>
      </c>
      <c r="F87" s="15">
        <v>6.952</v>
      </c>
      <c r="G87" s="17">
        <v>38.725000000000001</v>
      </c>
      <c r="H87" s="22">
        <v>-1.3360000000000001</v>
      </c>
      <c r="I87" s="16">
        <v>3.7439460000000002</v>
      </c>
      <c r="J87" s="16">
        <v>11.8878</v>
      </c>
      <c r="K87" s="16">
        <v>46.842769326271217</v>
      </c>
      <c r="L87" s="16">
        <v>60</v>
      </c>
      <c r="M87" s="16">
        <v>15</v>
      </c>
      <c r="N87" s="16">
        <v>45</v>
      </c>
      <c r="O87" s="16">
        <v>7.9747159999999999</v>
      </c>
      <c r="P87" s="16">
        <v>69.333920000000006</v>
      </c>
      <c r="Q87" s="16">
        <v>3.134973</v>
      </c>
      <c r="R87" s="16">
        <v>28.327839999999998</v>
      </c>
      <c r="S87" s="16">
        <v>15.94467</v>
      </c>
      <c r="T87" s="16">
        <v>50.066090000000003</v>
      </c>
      <c r="U87" s="16">
        <v>15.946289999999999</v>
      </c>
      <c r="V87" s="16">
        <v>25.869464435311833</v>
      </c>
      <c r="W87" s="16">
        <v>0.37814257528390421</v>
      </c>
      <c r="X87" s="16">
        <v>3347.94</v>
      </c>
      <c r="Y87" s="16">
        <v>29.092569435003522</v>
      </c>
      <c r="Z87" s="16">
        <v>31.74212904974404</v>
      </c>
      <c r="AA87" s="32">
        <v>9.2448518734724221</v>
      </c>
      <c r="AB87" s="16">
        <v>14.68</v>
      </c>
      <c r="AC87" s="16">
        <f t="shared" si="1"/>
        <v>-2.649559614740518</v>
      </c>
      <c r="AD87" s="8"/>
      <c r="AE87" s="8"/>
      <c r="AF87" s="12"/>
      <c r="AG87" s="12"/>
      <c r="AH87" s="12"/>
      <c r="AI87" s="12"/>
      <c r="AJ87" s="12"/>
      <c r="AK87" s="7"/>
      <c r="AL87" s="7"/>
      <c r="AM87" s="7"/>
      <c r="AN87" s="7"/>
      <c r="AO87" s="7"/>
      <c r="AP87" s="7"/>
      <c r="AQ87" s="7"/>
      <c r="AR87" s="7"/>
      <c r="AS87" s="7"/>
      <c r="AT87" s="7"/>
      <c r="AU87" s="7"/>
      <c r="AV87" s="7"/>
      <c r="AW87" s="7"/>
      <c r="AX87" s="7"/>
      <c r="AY87" s="7"/>
      <c r="AZ87" s="7"/>
      <c r="BA87" s="7"/>
      <c r="BB87" s="7"/>
      <c r="BC87" s="7"/>
    </row>
    <row r="88" spans="1:55" x14ac:dyDescent="0.35">
      <c r="A88" s="12" t="s">
        <v>8</v>
      </c>
      <c r="B88" s="14">
        <v>4</v>
      </c>
      <c r="C88" s="13">
        <v>2017</v>
      </c>
      <c r="D88" s="16">
        <v>3.933307594547415</v>
      </c>
      <c r="E88" s="16">
        <v>1.2819054384291491</v>
      </c>
      <c r="F88" s="15">
        <v>7.67</v>
      </c>
      <c r="G88" s="17">
        <v>41.868000000000002</v>
      </c>
      <c r="H88" s="22">
        <v>-5.1369999999999996</v>
      </c>
      <c r="I88" s="16">
        <v>4.2556900000000004</v>
      </c>
      <c r="J88" s="16">
        <v>12.706099999999999</v>
      </c>
      <c r="K88" s="16">
        <v>52.436788150852927</v>
      </c>
      <c r="L88" s="16">
        <v>60</v>
      </c>
      <c r="M88" s="16">
        <v>15</v>
      </c>
      <c r="N88" s="16">
        <v>42.235832000000002</v>
      </c>
      <c r="O88" s="16">
        <v>8.2040550000000003</v>
      </c>
      <c r="P88" s="16">
        <v>70.790440000000004</v>
      </c>
      <c r="Q88" s="16">
        <v>3.4490249999999998</v>
      </c>
      <c r="R88" s="16">
        <v>32.98789</v>
      </c>
      <c r="S88" s="16">
        <v>17.84226</v>
      </c>
      <c r="T88" s="16">
        <v>53.099879999999999</v>
      </c>
      <c r="U88" s="16">
        <v>25.552869999999999</v>
      </c>
      <c r="V88" s="16">
        <v>27.537310119872217</v>
      </c>
      <c r="W88" s="16">
        <v>-0.22858979938303914</v>
      </c>
      <c r="X88" s="16">
        <v>3230.19</v>
      </c>
      <c r="Y88" s="16">
        <v>30.902630876480824</v>
      </c>
      <c r="Z88" s="16">
        <v>34.440770631784858</v>
      </c>
      <c r="AA88" s="32">
        <v>10.027544729967111</v>
      </c>
      <c r="AB88" s="16">
        <v>15.106</v>
      </c>
      <c r="AC88" s="16">
        <f t="shared" si="1"/>
        <v>-3.5381397553040337</v>
      </c>
    </row>
    <row r="89" spans="1:55" x14ac:dyDescent="0.35">
      <c r="A89" s="12" t="s">
        <v>8</v>
      </c>
      <c r="B89" s="14">
        <v>4</v>
      </c>
      <c r="C89" s="13">
        <v>2018</v>
      </c>
      <c r="D89" s="16">
        <v>3.194356514918951</v>
      </c>
      <c r="E89" s="16">
        <v>0.59206685062873987</v>
      </c>
      <c r="F89" s="15">
        <v>6.7619999999999996</v>
      </c>
      <c r="G89" s="17">
        <v>42.767000000000003</v>
      </c>
      <c r="H89" s="22">
        <v>-4.6820000000000004</v>
      </c>
      <c r="I89" s="16">
        <v>4.5398993000000001</v>
      </c>
      <c r="J89" s="16">
        <v>13.855839999999999</v>
      </c>
      <c r="K89" s="16">
        <v>43.483344963177537</v>
      </c>
      <c r="L89" s="16">
        <v>55.389583333333299</v>
      </c>
      <c r="M89" s="16">
        <v>12.75</v>
      </c>
      <c r="N89" s="16">
        <v>39.471663999999997</v>
      </c>
      <c r="O89" s="16">
        <v>7.7028831000000002</v>
      </c>
      <c r="P89" s="16">
        <v>73.807079999999999</v>
      </c>
      <c r="Q89" s="16">
        <v>3.4361039999999998</v>
      </c>
      <c r="R89" s="16">
        <v>33.208820000000003</v>
      </c>
      <c r="S89" s="16">
        <v>17.243449999999999</v>
      </c>
      <c r="T89" s="16">
        <v>52.514420000000001</v>
      </c>
      <c r="U89" s="16">
        <v>25.207560000000001</v>
      </c>
      <c r="V89" s="16">
        <v>25.974123846542408</v>
      </c>
      <c r="W89" s="16">
        <v>0.71256088024207465</v>
      </c>
      <c r="X89" s="16">
        <v>3470.24</v>
      </c>
      <c r="Y89" s="16">
        <v>31.53602365436527</v>
      </c>
      <c r="Z89" s="16">
        <v>36.305481013782689</v>
      </c>
      <c r="AA89" s="32">
        <v>10.283128679260138</v>
      </c>
      <c r="AB89" s="16">
        <v>15.35</v>
      </c>
      <c r="AC89" s="16">
        <f t="shared" si="1"/>
        <v>-4.7694573594174194</v>
      </c>
    </row>
    <row r="90" spans="1:55" x14ac:dyDescent="0.35">
      <c r="A90" s="12" t="s">
        <v>8</v>
      </c>
      <c r="B90" s="14">
        <v>4</v>
      </c>
      <c r="C90" s="13">
        <v>2019</v>
      </c>
      <c r="D90" s="16">
        <v>4.411232130071312</v>
      </c>
      <c r="E90" s="16">
        <v>1.807532126218419</v>
      </c>
      <c r="F90" s="15">
        <v>6.0289999999999999</v>
      </c>
      <c r="G90" s="17">
        <v>43.667999999999999</v>
      </c>
      <c r="H90" s="22">
        <v>-4.508</v>
      </c>
      <c r="I90" s="16">
        <v>4.8241086000000006</v>
      </c>
      <c r="J90" s="16">
        <v>15.005579999999998</v>
      </c>
      <c r="K90" s="16">
        <v>39.877089440554151</v>
      </c>
      <c r="L90" s="16">
        <v>49</v>
      </c>
      <c r="M90" s="16">
        <v>13</v>
      </c>
      <c r="N90" s="16">
        <v>36.707495999999999</v>
      </c>
      <c r="O90" s="16">
        <v>7.2017112000000001</v>
      </c>
      <c r="P90" s="16">
        <v>78.547359999999998</v>
      </c>
      <c r="Q90" s="16">
        <v>3.2989289999999998</v>
      </c>
      <c r="R90" s="16">
        <v>32.379899999999999</v>
      </c>
      <c r="S90" s="16">
        <v>17.373619999999999</v>
      </c>
      <c r="T90" s="16">
        <v>48.644089999999998</v>
      </c>
      <c r="U90" s="16">
        <v>23.914200000000001</v>
      </c>
      <c r="V90" s="16">
        <v>21.414799483801197</v>
      </c>
      <c r="W90" s="16">
        <v>-2.1436638020774135</v>
      </c>
      <c r="X90" s="16">
        <v>3627.27</v>
      </c>
      <c r="Y90" s="16">
        <v>28.424401242834467</v>
      </c>
      <c r="Z90" s="16">
        <v>34.176921802902228</v>
      </c>
      <c r="AA90" s="32">
        <v>10.531864621217878</v>
      </c>
      <c r="AB90" s="16">
        <v>15.563000000000001</v>
      </c>
      <c r="AC90" s="16">
        <f t="shared" si="1"/>
        <v>-5.7525205600677616</v>
      </c>
    </row>
    <row r="91" spans="1:55" x14ac:dyDescent="0.35">
      <c r="A91" s="12" t="s">
        <v>8</v>
      </c>
      <c r="B91" s="14">
        <v>4</v>
      </c>
      <c r="C91" s="13">
        <v>2020</v>
      </c>
      <c r="D91" s="16">
        <v>-7.1376716215263087</v>
      </c>
      <c r="E91" s="16">
        <v>-9.4145297726027053</v>
      </c>
      <c r="F91" s="15">
        <v>5.37</v>
      </c>
      <c r="G91" s="17">
        <v>43.392000000000003</v>
      </c>
      <c r="H91" s="22">
        <v>-3.8130000000000002</v>
      </c>
      <c r="I91" s="16">
        <v>5.1083179000000003</v>
      </c>
      <c r="J91" s="16">
        <v>16.15532</v>
      </c>
      <c r="K91" s="16">
        <v>42.714056557493272</v>
      </c>
      <c r="L91" s="16">
        <v>48.866666666666703</v>
      </c>
      <c r="M91" s="16">
        <v>13.1875</v>
      </c>
      <c r="N91" s="16">
        <v>33.943328000000001</v>
      </c>
      <c r="O91" s="16">
        <v>6.7005393000000009</v>
      </c>
      <c r="P91" s="16">
        <v>78.861149999999995</v>
      </c>
      <c r="Q91" s="16">
        <v>2.5300579999999999</v>
      </c>
      <c r="R91" s="16">
        <v>26.42942</v>
      </c>
      <c r="S91" s="16">
        <v>19.780460000000001</v>
      </c>
      <c r="T91" s="16">
        <v>49.018250000000002</v>
      </c>
      <c r="U91" s="16">
        <v>26.953900000000001</v>
      </c>
      <c r="V91" s="16">
        <v>18.468375330237382</v>
      </c>
      <c r="W91" s="16">
        <v>-4.7745644935452729</v>
      </c>
      <c r="X91" s="16">
        <v>3824.84</v>
      </c>
      <c r="Y91" s="16">
        <v>20.142074883198731</v>
      </c>
      <c r="Z91" s="16">
        <v>28.868632481830396</v>
      </c>
      <c r="AA91" s="32">
        <v>9.5207287253425132</v>
      </c>
      <c r="AB91" s="16">
        <v>14.989000000000001</v>
      </c>
      <c r="AC91" s="16">
        <f t="shared" si="1"/>
        <v>-8.7265575986316648</v>
      </c>
    </row>
    <row r="92" spans="1:55" x14ac:dyDescent="0.35">
      <c r="A92" s="12" t="s">
        <v>8</v>
      </c>
      <c r="B92" s="14">
        <v>4</v>
      </c>
      <c r="C92" s="13">
        <v>2021</v>
      </c>
      <c r="D92" s="16">
        <v>5.7396157375873003</v>
      </c>
      <c r="E92" s="16">
        <v>3.2146626640383147</v>
      </c>
      <c r="F92" s="15">
        <v>5.3559999999999999</v>
      </c>
      <c r="G92" s="17">
        <v>42.664499999999997</v>
      </c>
      <c r="H92" s="22">
        <v>-3.536</v>
      </c>
      <c r="I92" s="16">
        <v>5.3925272</v>
      </c>
      <c r="J92" s="16">
        <v>17.305059999999997</v>
      </c>
      <c r="K92" s="16">
        <v>39.049418246653552</v>
      </c>
      <c r="L92" s="16">
        <v>48.283333333333303</v>
      </c>
      <c r="M92" s="16">
        <v>13.75</v>
      </c>
      <c r="N92" s="16">
        <v>31.17916</v>
      </c>
      <c r="O92" s="16">
        <v>6.1993673999999999</v>
      </c>
      <c r="P92" s="16">
        <v>86.944739999999996</v>
      </c>
      <c r="Q92" s="16">
        <v>1.7611869999999998</v>
      </c>
      <c r="R92" s="16">
        <v>20.478940000000001</v>
      </c>
      <c r="S92" s="16">
        <v>20.053270000000001</v>
      </c>
      <c r="T92" s="16">
        <v>49.392410000000005</v>
      </c>
      <c r="U92" s="16">
        <v>27.61478</v>
      </c>
      <c r="V92" s="16">
        <v>16.132694713262659</v>
      </c>
      <c r="W92" s="16">
        <v>-5.0310190455525419</v>
      </c>
      <c r="X92" s="16">
        <v>3956.66</v>
      </c>
      <c r="Y92" s="16">
        <v>22.774289882467009</v>
      </c>
      <c r="Z92" s="16">
        <v>31.682751709353457</v>
      </c>
      <c r="AA92" s="32">
        <v>10.238530699100322</v>
      </c>
      <c r="AB92" s="16">
        <v>15.359</v>
      </c>
      <c r="AC92" s="16">
        <f t="shared" si="1"/>
        <v>-8.9084618268864482</v>
      </c>
    </row>
    <row r="93" spans="1:55" x14ac:dyDescent="0.35">
      <c r="A93" s="12" t="s">
        <v>8</v>
      </c>
      <c r="B93" s="14">
        <v>4</v>
      </c>
      <c r="C93" s="13">
        <v>2022</v>
      </c>
      <c r="D93" s="16">
        <v>3.796204884456003</v>
      </c>
      <c r="E93" s="16">
        <v>1.3563430727391932</v>
      </c>
      <c r="F93" s="15">
        <v>5</v>
      </c>
      <c r="G93" s="17">
        <v>41.936999999999998</v>
      </c>
      <c r="H93" s="22">
        <v>-3.3340000000000001</v>
      </c>
      <c r="I93" s="16">
        <v>5.6767365000000005</v>
      </c>
      <c r="J93" s="16">
        <v>18.454799999999999</v>
      </c>
      <c r="K93" s="16">
        <v>40.580497240821103</v>
      </c>
      <c r="L93" s="16">
        <v>48.8333333333333</v>
      </c>
      <c r="M93" s="16">
        <v>13.375</v>
      </c>
      <c r="N93" s="16">
        <v>28.414991999999998</v>
      </c>
      <c r="O93" s="16">
        <v>5.6981955000000006</v>
      </c>
      <c r="P93" s="16">
        <f>AVERAGE(P90:P92)</f>
        <v>81.45108333333333</v>
      </c>
      <c r="Q93" s="16">
        <v>0.99231599999999975</v>
      </c>
      <c r="R93" s="16">
        <v>14.528459999999999</v>
      </c>
      <c r="S93" s="16">
        <v>20.326080000000001</v>
      </c>
      <c r="T93" s="16">
        <v>49.766570000000009</v>
      </c>
      <c r="U93" s="16">
        <f>AVERAGE(U90:U92)</f>
        <v>26.160959999999999</v>
      </c>
      <c r="V93" s="16">
        <v>16.989600672894408</v>
      </c>
      <c r="W93" s="16">
        <v>-5.2874735975598108</v>
      </c>
      <c r="X93" s="16">
        <v>4461.9799999999996</v>
      </c>
      <c r="Y93" s="16">
        <v>31.07963523942654</v>
      </c>
      <c r="Z93" s="16">
        <v>40.142600173219975</v>
      </c>
      <c r="AA93" s="32">
        <v>10.091863738041544</v>
      </c>
      <c r="AB93" s="16">
        <v>15.679</v>
      </c>
      <c r="AC93" s="16">
        <f t="shared" si="1"/>
        <v>-9.0629649337934346</v>
      </c>
    </row>
    <row r="94" spans="1:55" x14ac:dyDescent="0.35">
      <c r="A94" s="12" t="s">
        <v>9</v>
      </c>
      <c r="B94" s="14">
        <v>5</v>
      </c>
      <c r="C94" s="13">
        <v>2000</v>
      </c>
      <c r="D94" s="16">
        <v>1.5760776240766603</v>
      </c>
      <c r="E94" s="16">
        <v>-0.73443844270380509</v>
      </c>
      <c r="F94" s="15">
        <v>29.581488463168402</v>
      </c>
      <c r="G94" s="17">
        <v>41.209499999999991</v>
      </c>
      <c r="H94" s="16">
        <v>-5.0927250646366513</v>
      </c>
      <c r="I94" s="16">
        <v>3.5034800000000001</v>
      </c>
      <c r="J94" s="16">
        <v>5.6037499999999998</v>
      </c>
      <c r="K94" s="16">
        <v>17.306643740110506</v>
      </c>
      <c r="L94" s="23">
        <v>58</v>
      </c>
      <c r="M94" s="23">
        <v>36.5</v>
      </c>
      <c r="N94" s="23">
        <v>21.5</v>
      </c>
      <c r="O94" s="16">
        <v>12.885389999999999</v>
      </c>
      <c r="P94" s="16">
        <v>40.473999999999997</v>
      </c>
      <c r="Q94" s="16">
        <v>4.4970999999999997</v>
      </c>
      <c r="R94" s="16">
        <v>33.690190000000001</v>
      </c>
      <c r="S94" s="16">
        <v>5.6706700000000003</v>
      </c>
      <c r="T94" s="16">
        <v>50.140730000000012</v>
      </c>
      <c r="U94" s="16">
        <v>8.9176380000000002</v>
      </c>
      <c r="V94" s="16"/>
      <c r="W94" s="16">
        <v>-2.431</v>
      </c>
      <c r="X94" s="33">
        <v>59.838275000000003</v>
      </c>
      <c r="Y94" s="16">
        <v>0.66318592017536693</v>
      </c>
      <c r="Z94" s="16">
        <v>0.84082573720456188</v>
      </c>
      <c r="AA94" s="16">
        <v>8.3175015293069947</v>
      </c>
      <c r="AB94" s="16">
        <f>AVERAGE(AB96:AB105)</f>
        <v>24.522300000000001</v>
      </c>
      <c r="AC94" s="16">
        <f t="shared" si="1"/>
        <v>-0.17763981702919496</v>
      </c>
    </row>
    <row r="95" spans="1:55" x14ac:dyDescent="0.35">
      <c r="A95" s="12" t="s">
        <v>9</v>
      </c>
      <c r="B95" s="14">
        <v>5</v>
      </c>
      <c r="C95" s="13">
        <v>2001</v>
      </c>
      <c r="D95" s="16">
        <v>-4.9749636170102747</v>
      </c>
      <c r="E95" s="16">
        <v>-7.2015133874045176</v>
      </c>
      <c r="F95" s="15">
        <v>22.7</v>
      </c>
      <c r="G95" s="17">
        <v>40.481999999999992</v>
      </c>
      <c r="H95" s="16">
        <v>-5.6270712033848191</v>
      </c>
      <c r="I95" s="16">
        <v>2.6681499999999998</v>
      </c>
      <c r="J95" s="16">
        <v>5.2079300000000002</v>
      </c>
      <c r="K95" s="16">
        <v>24.314278090374675</v>
      </c>
      <c r="L95" s="23">
        <v>52</v>
      </c>
      <c r="M95" s="23">
        <v>30.5</v>
      </c>
      <c r="N95" s="23">
        <v>21.5</v>
      </c>
      <c r="O95" s="16">
        <v>15.428129999999999</v>
      </c>
      <c r="P95" s="16">
        <v>34.867649999999998</v>
      </c>
      <c r="Q95" s="16">
        <v>3.6</v>
      </c>
      <c r="R95" s="16">
        <v>33.6</v>
      </c>
      <c r="S95" s="16">
        <v>6.1364809999999999</v>
      </c>
      <c r="T95" s="16">
        <v>75.900000000000006</v>
      </c>
      <c r="U95" s="16">
        <v>9.5421709999999997</v>
      </c>
      <c r="V95" s="16"/>
      <c r="W95" s="16">
        <v>-2.02</v>
      </c>
      <c r="X95" s="33">
        <v>72.556316666666604</v>
      </c>
      <c r="Y95" s="16">
        <v>0.14463594167679927</v>
      </c>
      <c r="Z95" s="16">
        <v>0.68725626688341612</v>
      </c>
      <c r="AA95" s="16">
        <v>8.4838515598931341</v>
      </c>
      <c r="AB95" s="16">
        <f>AVERAGE(AB94,AB97,AB96)</f>
        <v>19.071766666666665</v>
      </c>
      <c r="AC95" s="16">
        <f t="shared" si="1"/>
        <v>-0.54262032520661685</v>
      </c>
    </row>
    <row r="96" spans="1:55" x14ac:dyDescent="0.35">
      <c r="A96" s="12" t="s">
        <v>9</v>
      </c>
      <c r="B96" s="14">
        <v>5</v>
      </c>
      <c r="C96" s="13">
        <v>2002</v>
      </c>
      <c r="D96" s="16">
        <v>1.7000000294894022</v>
      </c>
      <c r="E96" s="16">
        <v>-0.76541309276872482</v>
      </c>
      <c r="F96" s="15">
        <v>14.744634610160301</v>
      </c>
      <c r="G96" s="15">
        <v>137.21100000000001</v>
      </c>
      <c r="H96" s="16">
        <v>-8.0774742598616154</v>
      </c>
      <c r="I96" s="16">
        <v>2.769771</v>
      </c>
      <c r="J96" s="16">
        <v>2.7468900000000001</v>
      </c>
      <c r="K96" s="16">
        <v>-29.221362602601438</v>
      </c>
      <c r="L96" s="23">
        <v>47.5</v>
      </c>
      <c r="M96" s="23">
        <v>24</v>
      </c>
      <c r="N96" s="23">
        <v>23.5</v>
      </c>
      <c r="O96" s="16">
        <v>13.795210000000001</v>
      </c>
      <c r="P96" s="16">
        <v>33.404319999999998</v>
      </c>
      <c r="Q96" s="16">
        <v>4.7</v>
      </c>
      <c r="R96" s="16">
        <v>42.2</v>
      </c>
      <c r="S96" s="16">
        <v>5.8403109999999998</v>
      </c>
      <c r="T96" s="16">
        <v>77.2</v>
      </c>
      <c r="U96" s="16">
        <v>8.9295340000000003</v>
      </c>
      <c r="V96" s="16"/>
      <c r="W96" s="16">
        <v>-13.529</v>
      </c>
      <c r="X96" s="33">
        <v>77.071875000000006</v>
      </c>
      <c r="Y96" s="16">
        <v>0.55628172729255176</v>
      </c>
      <c r="Z96" s="16">
        <v>1.2258013000041792</v>
      </c>
      <c r="AA96" s="16">
        <v>8.6535285910909963</v>
      </c>
      <c r="AB96" s="16">
        <v>12.919</v>
      </c>
      <c r="AC96" s="16">
        <f t="shared" si="1"/>
        <v>-0.66951957271162743</v>
      </c>
    </row>
    <row r="97" spans="1:55" x14ac:dyDescent="0.35">
      <c r="A97" s="12" t="s">
        <v>9</v>
      </c>
      <c r="B97" s="14">
        <v>5</v>
      </c>
      <c r="C97" s="13">
        <v>2003</v>
      </c>
      <c r="D97" s="16">
        <v>5.7056394066278244</v>
      </c>
      <c r="E97" s="16">
        <v>3.0519112337045016</v>
      </c>
      <c r="F97" s="15">
        <v>9.5767978691921396</v>
      </c>
      <c r="G97" s="15">
        <v>128.482</v>
      </c>
      <c r="H97" s="16">
        <v>-6.2672154759831677</v>
      </c>
      <c r="I97" s="16">
        <v>3.596333</v>
      </c>
      <c r="J97" s="16">
        <v>3.1370100000000001</v>
      </c>
      <c r="K97" s="16">
        <v>34.95417704612602</v>
      </c>
      <c r="L97" s="23">
        <v>42</v>
      </c>
      <c r="M97" s="23">
        <v>18.5</v>
      </c>
      <c r="N97" s="23">
        <v>23.5</v>
      </c>
      <c r="O97" s="16">
        <v>14.95411</v>
      </c>
      <c r="P97" s="16">
        <v>35.064129999999999</v>
      </c>
      <c r="Q97" s="16">
        <v>5.2</v>
      </c>
      <c r="R97" s="16">
        <v>41</v>
      </c>
      <c r="S97" s="16">
        <v>6.3540479999999997</v>
      </c>
      <c r="T97" s="16">
        <v>86.1</v>
      </c>
      <c r="U97" s="16">
        <v>9.8303019999999997</v>
      </c>
      <c r="V97" s="16"/>
      <c r="W97" s="16">
        <v>-10.298999999999999</v>
      </c>
      <c r="X97" s="33">
        <v>97.919166666666598</v>
      </c>
      <c r="Y97" s="16">
        <v>0.54047198161696119</v>
      </c>
      <c r="Z97" s="16">
        <v>1.3487711417589261</v>
      </c>
      <c r="AA97" s="16">
        <v>8.8265991629128155</v>
      </c>
      <c r="AB97" s="16">
        <v>19.774000000000001</v>
      </c>
      <c r="AC97" s="16">
        <f t="shared" si="1"/>
        <v>-0.8082991601419649</v>
      </c>
    </row>
    <row r="98" spans="1:55" x14ac:dyDescent="0.35">
      <c r="A98" s="12" t="s">
        <v>9</v>
      </c>
      <c r="B98" s="14">
        <v>5</v>
      </c>
      <c r="C98" s="13">
        <v>2004</v>
      </c>
      <c r="D98" s="16">
        <v>5.4204975488737546</v>
      </c>
      <c r="E98" s="16">
        <v>2.6737708664680753</v>
      </c>
      <c r="F98" s="15">
        <v>11.4298060822124</v>
      </c>
      <c r="G98" s="15">
        <v>115.142</v>
      </c>
      <c r="H98" s="16">
        <v>-11.21385840872939</v>
      </c>
      <c r="I98" s="16">
        <v>2.9084720000000002</v>
      </c>
      <c r="J98" s="16">
        <v>3.6787200000000002</v>
      </c>
      <c r="K98" s="16">
        <v>19.144408470526241</v>
      </c>
      <c r="L98" s="23">
        <v>33.5</v>
      </c>
      <c r="M98" s="23">
        <v>10.5</v>
      </c>
      <c r="N98" s="23">
        <v>23</v>
      </c>
      <c r="O98" s="16">
        <v>14.21475</v>
      </c>
      <c r="P98" s="16">
        <v>39.278309999999998</v>
      </c>
      <c r="Q98" s="16">
        <v>3.6</v>
      </c>
      <c r="R98" s="16">
        <v>27.8</v>
      </c>
      <c r="S98" s="16">
        <v>6.6518439999999996</v>
      </c>
      <c r="T98" s="16">
        <v>75.400000000000006</v>
      </c>
      <c r="U98" s="16">
        <v>10.552379999999999</v>
      </c>
      <c r="V98" s="16"/>
      <c r="W98" s="16">
        <v>-10.439</v>
      </c>
      <c r="X98" s="34">
        <v>109.45083333333299</v>
      </c>
      <c r="Y98" s="16">
        <v>0.71529513590710414</v>
      </c>
      <c r="Z98" s="16">
        <v>1.801454927359085</v>
      </c>
      <c r="AA98" s="16">
        <v>9.0031311461710715</v>
      </c>
      <c r="AB98" s="16">
        <v>22.89</v>
      </c>
      <c r="AC98" s="16">
        <f t="shared" si="1"/>
        <v>-1.0861597914519807</v>
      </c>
    </row>
    <row r="99" spans="1:55" s="10" customFormat="1" x14ac:dyDescent="0.35">
      <c r="A99" s="12" t="s">
        <v>9</v>
      </c>
      <c r="B99" s="14">
        <v>5</v>
      </c>
      <c r="C99" s="13">
        <v>2005</v>
      </c>
      <c r="D99" s="16">
        <v>3.2687260214452181</v>
      </c>
      <c r="E99" s="16">
        <v>0.48125164291580802</v>
      </c>
      <c r="F99" s="15">
        <v>15.410344660429599</v>
      </c>
      <c r="G99" s="15">
        <v>106.565</v>
      </c>
      <c r="H99" s="16">
        <v>-8.2798158545733394</v>
      </c>
      <c r="I99" s="16">
        <v>2.92672</v>
      </c>
      <c r="J99" s="16">
        <v>4.0427</v>
      </c>
      <c r="K99" s="16">
        <v>20.175046947815677</v>
      </c>
      <c r="L99" s="23">
        <v>33</v>
      </c>
      <c r="M99" s="23">
        <v>11</v>
      </c>
      <c r="N99" s="23">
        <v>22</v>
      </c>
      <c r="O99" s="16">
        <v>12.643090000000001</v>
      </c>
      <c r="P99" s="16">
        <v>41.624479999999998</v>
      </c>
      <c r="Q99" s="16">
        <v>2.9</v>
      </c>
      <c r="R99" s="16">
        <v>23.4</v>
      </c>
      <c r="S99" s="16">
        <v>6.8979530000000002</v>
      </c>
      <c r="T99" s="16">
        <v>67.900000000000006</v>
      </c>
      <c r="U99" s="16">
        <v>11.172650000000001</v>
      </c>
      <c r="V99" s="16"/>
      <c r="W99" s="16">
        <v>-13.28</v>
      </c>
      <c r="X99" s="33">
        <v>119.002150495953</v>
      </c>
      <c r="Y99" s="16">
        <v>0.72678514529779426</v>
      </c>
      <c r="Z99" s="16">
        <v>1.5629109141279942</v>
      </c>
      <c r="AA99" s="16">
        <v>9.1831937690944923</v>
      </c>
      <c r="AB99" s="16">
        <v>24.21</v>
      </c>
      <c r="AC99" s="16">
        <f t="shared" si="1"/>
        <v>-0.83612576883019996</v>
      </c>
      <c r="AD99" s="8"/>
      <c r="AE99" s="8"/>
      <c r="AF99" s="12"/>
      <c r="AG99" s="12"/>
      <c r="AH99" s="12"/>
      <c r="AI99" s="12"/>
      <c r="AJ99" s="12"/>
      <c r="AK99" s="7"/>
      <c r="AL99" s="7"/>
      <c r="AM99" s="7"/>
      <c r="AN99" s="7"/>
      <c r="AO99" s="7"/>
      <c r="AP99" s="7"/>
      <c r="AQ99" s="7"/>
      <c r="AR99" s="7"/>
      <c r="AS99" s="7"/>
      <c r="AT99" s="7"/>
      <c r="AU99" s="7"/>
      <c r="AV99" s="7"/>
      <c r="AW99" s="7"/>
      <c r="AX99" s="7"/>
      <c r="AY99" s="7"/>
      <c r="AZ99" s="7"/>
      <c r="BA99" s="7"/>
      <c r="BB99" s="7"/>
      <c r="BC99" s="7"/>
    </row>
    <row r="100" spans="1:55" s="10" customFormat="1" x14ac:dyDescent="0.35">
      <c r="A100" s="12" t="s">
        <v>9</v>
      </c>
      <c r="B100" s="14">
        <v>5</v>
      </c>
      <c r="C100" s="13">
        <v>2006</v>
      </c>
      <c r="D100" s="16">
        <v>4.6999997652809213</v>
      </c>
      <c r="E100" s="16">
        <v>1.8055411118222935</v>
      </c>
      <c r="F100" s="15">
        <v>13.974294354838801</v>
      </c>
      <c r="G100" s="15">
        <v>28.079000000000001</v>
      </c>
      <c r="H100" s="16">
        <v>-9.1874722609656558</v>
      </c>
      <c r="I100" s="16">
        <v>2.4509669999999999</v>
      </c>
      <c r="J100" s="16">
        <v>5.1024900000000004</v>
      </c>
      <c r="K100" s="16">
        <v>10.238410464253848</v>
      </c>
      <c r="L100" s="23">
        <v>28.5</v>
      </c>
      <c r="M100" s="23">
        <v>7</v>
      </c>
      <c r="N100" s="23">
        <v>21.5</v>
      </c>
      <c r="O100" s="16">
        <v>10.86284</v>
      </c>
      <c r="P100" s="16">
        <v>58.551639999999999</v>
      </c>
      <c r="Q100" s="16">
        <v>4.2</v>
      </c>
      <c r="R100" s="16">
        <v>36</v>
      </c>
      <c r="S100" s="16">
        <v>6.1892849999999999</v>
      </c>
      <c r="T100" s="16">
        <v>55.9</v>
      </c>
      <c r="U100" s="16">
        <v>10.31099</v>
      </c>
      <c r="V100" s="16"/>
      <c r="W100" s="16">
        <v>-17.420999999999999</v>
      </c>
      <c r="X100" s="33">
        <v>136.68461302232399</v>
      </c>
      <c r="Y100" s="16">
        <v>0.85292996124278553</v>
      </c>
      <c r="Z100" s="16">
        <v>2.4085420794214834</v>
      </c>
      <c r="AA100" s="16">
        <v>9.3668576444763829</v>
      </c>
      <c r="AB100" s="16">
        <v>28.422999999999998</v>
      </c>
      <c r="AC100" s="16">
        <f t="shared" si="1"/>
        <v>-1.5556121181786979</v>
      </c>
      <c r="AD100" s="8"/>
      <c r="AE100" s="8"/>
      <c r="AF100" s="12"/>
      <c r="AG100" s="12"/>
      <c r="AH100" s="12"/>
      <c r="AI100" s="12"/>
      <c r="AJ100" s="12"/>
      <c r="AK100" s="7"/>
      <c r="AL100" s="7"/>
      <c r="AM100" s="7"/>
      <c r="AN100" s="7"/>
      <c r="AO100" s="7"/>
      <c r="AP100" s="7"/>
      <c r="AQ100" s="7"/>
      <c r="AR100" s="7"/>
      <c r="AS100" s="7"/>
      <c r="AT100" s="7"/>
      <c r="AU100" s="7"/>
      <c r="AV100" s="7"/>
      <c r="AW100" s="7"/>
      <c r="AX100" s="7"/>
      <c r="AY100" s="7"/>
      <c r="AZ100" s="7"/>
      <c r="BA100" s="7"/>
      <c r="BB100" s="7"/>
      <c r="BC100" s="7"/>
    </row>
    <row r="101" spans="1:55" s="10" customFormat="1" x14ac:dyDescent="0.35">
      <c r="A101" s="12" t="s">
        <v>9</v>
      </c>
      <c r="B101" s="14">
        <v>5</v>
      </c>
      <c r="C101" s="13">
        <v>2007</v>
      </c>
      <c r="D101" s="16">
        <v>9.599999876267205</v>
      </c>
      <c r="E101" s="16">
        <v>6.5370225220754037</v>
      </c>
      <c r="F101" s="15">
        <v>7.9522099086403202</v>
      </c>
      <c r="G101" s="15">
        <v>28.434999999999999</v>
      </c>
      <c r="H101" s="16">
        <v>-9.8365933253507336</v>
      </c>
      <c r="I101" s="16">
        <v>3.877338</v>
      </c>
      <c r="J101" s="16">
        <v>5.4782000000000002</v>
      </c>
      <c r="K101" s="16">
        <v>22.685509438241599</v>
      </c>
      <c r="L101" s="23">
        <v>27</v>
      </c>
      <c r="M101" s="23">
        <v>3.5</v>
      </c>
      <c r="N101" s="23">
        <v>22.083333333333332</v>
      </c>
      <c r="O101" s="16">
        <v>13.9</v>
      </c>
      <c r="P101" s="16">
        <v>52.070729999999998</v>
      </c>
      <c r="Q101" s="16">
        <v>4.9000000000000004</v>
      </c>
      <c r="R101" s="16">
        <v>39.9</v>
      </c>
      <c r="S101" s="16">
        <v>7.4720870000000001</v>
      </c>
      <c r="T101" s="16">
        <v>56.5</v>
      </c>
      <c r="U101" s="16">
        <v>12.6236</v>
      </c>
      <c r="V101" s="16"/>
      <c r="W101" s="16">
        <v>-8.2230000000000008</v>
      </c>
      <c r="X101" s="33">
        <v>140.70073716830299</v>
      </c>
      <c r="Y101" s="16">
        <v>0.20204461704434268</v>
      </c>
      <c r="Z101" s="16">
        <v>0.87290008172344802</v>
      </c>
      <c r="AA101" s="16">
        <v>9.5541947973659109</v>
      </c>
      <c r="AB101" s="16">
        <v>28.259</v>
      </c>
      <c r="AC101" s="16">
        <f t="shared" si="1"/>
        <v>-0.6708554646791054</v>
      </c>
      <c r="AD101" s="8"/>
      <c r="AE101" s="8"/>
      <c r="AF101" s="12"/>
      <c r="AG101" s="12"/>
      <c r="AH101" s="12"/>
      <c r="AI101" s="12"/>
      <c r="AJ101" s="12"/>
      <c r="AK101" s="7"/>
      <c r="AL101" s="7"/>
      <c r="AM101" s="7"/>
      <c r="AN101" s="7"/>
      <c r="AO101" s="7"/>
      <c r="AP101" s="7"/>
      <c r="AQ101" s="7"/>
      <c r="AR101" s="7"/>
      <c r="AS101" s="7"/>
      <c r="AT101" s="7"/>
      <c r="AU101" s="7"/>
      <c r="AV101" s="7"/>
      <c r="AW101" s="7"/>
      <c r="AX101" s="7"/>
      <c r="AY101" s="7"/>
      <c r="AZ101" s="7"/>
      <c r="BA101" s="7"/>
      <c r="BB101" s="7"/>
      <c r="BC101" s="7"/>
    </row>
    <row r="102" spans="1:55" s="10" customFormat="1" x14ac:dyDescent="0.35">
      <c r="A102" s="12" t="s">
        <v>9</v>
      </c>
      <c r="B102" s="14">
        <v>5</v>
      </c>
      <c r="C102" s="13">
        <v>2008</v>
      </c>
      <c r="D102" s="16">
        <v>7.6397363993359448</v>
      </c>
      <c r="E102" s="16">
        <v>4.5866397694844068</v>
      </c>
      <c r="F102" s="15">
        <v>8.7126018660904005</v>
      </c>
      <c r="G102" s="15">
        <v>36.203000000000003</v>
      </c>
      <c r="H102" s="16">
        <v>-14.029525978218127</v>
      </c>
      <c r="I102" s="16">
        <v>4.5376320000000003</v>
      </c>
      <c r="J102" s="16">
        <v>9.1134599999999999</v>
      </c>
      <c r="K102" s="16">
        <v>11.890456645647074</v>
      </c>
      <c r="L102" s="23">
        <v>27</v>
      </c>
      <c r="M102" s="23">
        <v>3.5</v>
      </c>
      <c r="N102" s="23">
        <v>21.75</v>
      </c>
      <c r="O102" s="16">
        <v>12.1</v>
      </c>
      <c r="P102" s="16">
        <v>59.575310000000002</v>
      </c>
      <c r="Q102" s="16">
        <v>4.8</v>
      </c>
      <c r="R102" s="16">
        <v>43.6</v>
      </c>
      <c r="S102" s="16">
        <v>10.864660000000001</v>
      </c>
      <c r="T102" s="16">
        <v>53.4</v>
      </c>
      <c r="U102" s="16">
        <v>13.264089999999999</v>
      </c>
      <c r="V102" s="16"/>
      <c r="W102" s="16">
        <v>-15.099</v>
      </c>
      <c r="X102" s="33">
        <v>141.22578480880199</v>
      </c>
      <c r="Y102" s="16">
        <v>1.22908350793555</v>
      </c>
      <c r="Z102" s="16">
        <v>2.745663677892221</v>
      </c>
      <c r="AA102" s="16">
        <v>9.7452786933132298</v>
      </c>
      <c r="AB102" s="16">
        <v>28.074999999999999</v>
      </c>
      <c r="AC102" s="16">
        <f t="shared" si="1"/>
        <v>-1.516580169956671</v>
      </c>
      <c r="AD102" s="8"/>
      <c r="AE102" s="8"/>
      <c r="AF102" s="12"/>
      <c r="AG102" s="12"/>
      <c r="AH102" s="12"/>
      <c r="AI102" s="12"/>
      <c r="AJ102" s="12"/>
      <c r="AK102" s="7"/>
      <c r="AL102" s="7"/>
      <c r="AM102" s="7"/>
      <c r="AN102" s="7"/>
      <c r="AO102" s="7"/>
      <c r="AP102" s="7"/>
      <c r="AQ102" s="7"/>
      <c r="AR102" s="7"/>
      <c r="AS102" s="7"/>
      <c r="AT102" s="7"/>
      <c r="AU102" s="7"/>
      <c r="AV102" s="7"/>
      <c r="AW102" s="7"/>
      <c r="AX102" s="7"/>
      <c r="AY102" s="7"/>
      <c r="AZ102" s="7"/>
      <c r="BA102" s="7"/>
      <c r="BB102" s="7"/>
      <c r="BC102" s="7"/>
    </row>
    <row r="103" spans="1:55" s="10" customFormat="1" x14ac:dyDescent="0.35">
      <c r="A103" s="12" t="s">
        <v>9</v>
      </c>
      <c r="B103" s="14">
        <v>5</v>
      </c>
      <c r="C103" s="13">
        <v>2009</v>
      </c>
      <c r="D103" s="16">
        <v>8.3281098521430721</v>
      </c>
      <c r="E103" s="16">
        <v>5.2256868224062316</v>
      </c>
      <c r="F103" s="15">
        <v>8.4220442769665702</v>
      </c>
      <c r="G103" s="15">
        <v>35.643999999999998</v>
      </c>
      <c r="H103" s="16">
        <v>-14.835924781883945</v>
      </c>
      <c r="I103" s="16">
        <v>3.924318</v>
      </c>
      <c r="J103" s="16">
        <v>10.8748</v>
      </c>
      <c r="K103" s="16">
        <v>16.079893900405015</v>
      </c>
      <c r="L103" s="23">
        <v>27</v>
      </c>
      <c r="M103" s="23">
        <v>3.5</v>
      </c>
      <c r="N103" s="23">
        <v>21.75</v>
      </c>
      <c r="O103" s="16">
        <v>13</v>
      </c>
      <c r="P103" s="16">
        <v>64.858900000000006</v>
      </c>
      <c r="Q103" s="16">
        <v>4.8</v>
      </c>
      <c r="R103" s="16">
        <v>34.1</v>
      </c>
      <c r="S103" s="16">
        <v>11.90823</v>
      </c>
      <c r="T103" s="16">
        <v>48.1</v>
      </c>
      <c r="U103" s="16">
        <v>14.142390000000001</v>
      </c>
      <c r="V103" s="16"/>
      <c r="W103" s="16">
        <v>-10.199</v>
      </c>
      <c r="X103" s="34">
        <v>141.87524240620399</v>
      </c>
      <c r="Y103" s="16">
        <v>1.7078191585165783</v>
      </c>
      <c r="Z103" s="16">
        <v>3.3697035022477944</v>
      </c>
      <c r="AA103" s="16">
        <v>9.9401842671794949</v>
      </c>
      <c r="AB103" s="16">
        <v>26.911000000000001</v>
      </c>
      <c r="AC103" s="16">
        <f t="shared" si="1"/>
        <v>-1.6618843437312161</v>
      </c>
      <c r="AD103" s="8"/>
      <c r="AE103" s="8"/>
      <c r="AF103" s="12"/>
      <c r="AG103" s="12"/>
      <c r="AH103" s="12"/>
      <c r="AI103" s="12"/>
      <c r="AJ103" s="12"/>
      <c r="AK103" s="7"/>
      <c r="AL103" s="7"/>
      <c r="AM103" s="7"/>
      <c r="AN103" s="7"/>
      <c r="AO103" s="7"/>
      <c r="AP103" s="7"/>
      <c r="AQ103" s="7"/>
      <c r="AR103" s="7"/>
      <c r="AS103" s="7"/>
      <c r="AT103" s="7"/>
      <c r="AU103" s="7"/>
      <c r="AV103" s="7"/>
      <c r="AW103" s="7"/>
      <c r="AX103" s="7"/>
      <c r="AY103" s="7"/>
      <c r="AZ103" s="7"/>
      <c r="BA103" s="7"/>
      <c r="BB103" s="7"/>
      <c r="BC103" s="7"/>
    </row>
    <row r="104" spans="1:55" s="10" customFormat="1" x14ac:dyDescent="0.35">
      <c r="A104" s="12" t="s">
        <v>9</v>
      </c>
      <c r="B104" s="14">
        <v>5</v>
      </c>
      <c r="C104" s="13">
        <v>2010</v>
      </c>
      <c r="D104" s="16">
        <v>6.874065854015825</v>
      </c>
      <c r="E104" s="16">
        <v>3.8280462545573215</v>
      </c>
      <c r="F104" s="15">
        <v>7.41159092883826</v>
      </c>
      <c r="G104" s="15">
        <v>29.645</v>
      </c>
      <c r="H104" s="16">
        <v>-7.8710872618622831</v>
      </c>
      <c r="I104" s="16">
        <v>3.251671</v>
      </c>
      <c r="J104" s="16">
        <v>13.829599999999999</v>
      </c>
      <c r="K104" s="16">
        <v>11.146069356683158</v>
      </c>
      <c r="L104" s="23">
        <v>27</v>
      </c>
      <c r="M104" s="23">
        <v>3.75</v>
      </c>
      <c r="N104" s="23">
        <f>O104-L104</f>
        <v>-14.974690000000001</v>
      </c>
      <c r="O104" s="16">
        <v>12.025309999999999</v>
      </c>
      <c r="P104" s="16">
        <v>72.0441</v>
      </c>
      <c r="Q104" s="16">
        <v>4.2</v>
      </c>
      <c r="R104" s="16">
        <v>29.4</v>
      </c>
      <c r="S104" s="16">
        <v>13.63359</v>
      </c>
      <c r="T104" s="16">
        <v>40.700000000000003</v>
      </c>
      <c r="U104" s="16">
        <v>15.712949999999999</v>
      </c>
      <c r="V104" s="16"/>
      <c r="W104" s="16">
        <v>-8.5839999999999996</v>
      </c>
      <c r="X104" s="33">
        <v>151.23448383392099</v>
      </c>
      <c r="Y104" s="16">
        <v>2.3736317896615953</v>
      </c>
      <c r="Z104" s="16">
        <v>2.4674265290461692</v>
      </c>
      <c r="AA104" s="16">
        <v>10.563465020975455</v>
      </c>
      <c r="AB104" s="16">
        <v>31.817</v>
      </c>
      <c r="AC104" s="16">
        <f t="shared" si="1"/>
        <v>-9.3794739384573944E-2</v>
      </c>
      <c r="AD104" s="8"/>
      <c r="AE104" s="8"/>
      <c r="AF104" s="12"/>
      <c r="AG104" s="12"/>
      <c r="AH104" s="12"/>
      <c r="AI104" s="12"/>
      <c r="AJ104" s="12"/>
      <c r="AK104" s="7"/>
      <c r="AL104" s="7"/>
      <c r="AM104" s="7"/>
      <c r="AN104" s="7"/>
      <c r="AO104" s="7"/>
      <c r="AP104" s="7"/>
      <c r="AQ104" s="7"/>
      <c r="AR104" s="7"/>
      <c r="AS104" s="7"/>
      <c r="AT104" s="7"/>
      <c r="AU104" s="7"/>
      <c r="AV104" s="7"/>
      <c r="AW104" s="7"/>
      <c r="AX104" s="7"/>
      <c r="AY104" s="7"/>
      <c r="AZ104" s="7"/>
      <c r="BA104" s="7"/>
      <c r="BB104" s="7"/>
      <c r="BC104" s="7"/>
    </row>
    <row r="105" spans="1:55" s="10" customFormat="1" x14ac:dyDescent="0.35">
      <c r="A105" s="12" t="s">
        <v>9</v>
      </c>
      <c r="B105" s="14">
        <v>5</v>
      </c>
      <c r="C105" s="13">
        <v>2011</v>
      </c>
      <c r="D105" s="16">
        <v>4.9326699984588913</v>
      </c>
      <c r="E105" s="16">
        <v>1.9697433954957404</v>
      </c>
      <c r="F105" s="15">
        <v>7.6228226284851504</v>
      </c>
      <c r="G105" s="15">
        <v>30.649000000000001</v>
      </c>
      <c r="H105" s="16">
        <v>-1.890828273307777</v>
      </c>
      <c r="I105" s="16">
        <v>5.1434420000000003</v>
      </c>
      <c r="J105" s="16">
        <v>13.932399999999999</v>
      </c>
      <c r="K105" s="16">
        <v>8.5619281531500189</v>
      </c>
      <c r="L105" s="23">
        <v>27</v>
      </c>
      <c r="M105" s="23">
        <v>3.75</v>
      </c>
      <c r="N105" s="23">
        <f>O105-L105</f>
        <v>-15.72688</v>
      </c>
      <c r="O105" s="16">
        <v>11.27312</v>
      </c>
      <c r="P105" s="16">
        <v>64.149630000000002</v>
      </c>
      <c r="Q105" s="16">
        <v>3.5</v>
      </c>
      <c r="R105" s="16">
        <v>24.7</v>
      </c>
      <c r="S105" s="16">
        <v>15.42515</v>
      </c>
      <c r="T105" s="16">
        <v>42.9</v>
      </c>
      <c r="U105" s="16">
        <v>17.820530000000002</v>
      </c>
      <c r="V105" s="16"/>
      <c r="W105" s="16">
        <v>-8.6129999999999995</v>
      </c>
      <c r="X105" s="34">
        <v>157.63966195033038</v>
      </c>
      <c r="Y105" s="16">
        <v>0.73484864067829592</v>
      </c>
      <c r="Z105" s="16">
        <v>1.9675821163213509</v>
      </c>
      <c r="AA105" s="16">
        <v>10.617706978391777</v>
      </c>
      <c r="AB105" s="16">
        <v>21.945</v>
      </c>
      <c r="AC105" s="16">
        <f t="shared" si="1"/>
        <v>-1.232733475643055</v>
      </c>
      <c r="AD105" s="8"/>
      <c r="AE105" s="8"/>
      <c r="AF105" s="12"/>
      <c r="AG105" s="12"/>
      <c r="AH105" s="12"/>
      <c r="AI105" s="12"/>
      <c r="AJ105" s="12"/>
      <c r="AK105" s="7"/>
      <c r="AL105" s="7"/>
      <c r="AM105" s="7"/>
      <c r="AN105" s="7"/>
      <c r="AO105" s="7"/>
      <c r="AP105" s="7"/>
      <c r="AQ105" s="7"/>
      <c r="AR105" s="7"/>
      <c r="AS105" s="7"/>
      <c r="AT105" s="7"/>
      <c r="AU105" s="7"/>
      <c r="AV105" s="7"/>
      <c r="AW105" s="7"/>
      <c r="AX105" s="7"/>
      <c r="AY105" s="7"/>
      <c r="AZ105" s="7"/>
      <c r="BA105" s="7"/>
      <c r="BB105" s="7"/>
      <c r="BC105" s="7"/>
    </row>
    <row r="106" spans="1:55" s="10" customFormat="1" x14ac:dyDescent="0.35">
      <c r="A106" s="12" t="s">
        <v>9</v>
      </c>
      <c r="B106" s="14">
        <v>5</v>
      </c>
      <c r="C106" s="13">
        <v>2012</v>
      </c>
      <c r="D106" s="16">
        <v>1.9000000007214766</v>
      </c>
      <c r="E106" s="16">
        <v>-0.94588819531067259</v>
      </c>
      <c r="F106" s="15">
        <v>21.271265001378001</v>
      </c>
      <c r="G106" s="15">
        <v>43.917999999999999</v>
      </c>
      <c r="H106" s="16">
        <v>-15.924867215629094</v>
      </c>
      <c r="I106" s="16">
        <v>3.7508910000000002</v>
      </c>
      <c r="J106" s="16">
        <v>14.574299999999999</v>
      </c>
      <c r="K106" s="16">
        <v>12.487356382068254</v>
      </c>
      <c r="L106" s="23">
        <v>43.5</v>
      </c>
      <c r="M106" s="23">
        <v>10.55</v>
      </c>
      <c r="N106" s="23">
        <f>O106-L106</f>
        <v>-31.5</v>
      </c>
      <c r="O106" s="16">
        <v>12</v>
      </c>
      <c r="P106" s="16">
        <v>66.111069999999998</v>
      </c>
      <c r="Q106" s="16">
        <v>4.9000000000000004</v>
      </c>
      <c r="R106" s="16">
        <v>36.1</v>
      </c>
      <c r="S106" s="16">
        <v>15.65701</v>
      </c>
      <c r="T106" s="16">
        <v>44.39002</v>
      </c>
      <c r="U106" s="16">
        <v>18.276039999999998</v>
      </c>
      <c r="V106" s="16"/>
      <c r="W106" s="16">
        <v>-9.2579999999999991</v>
      </c>
      <c r="X106" s="34">
        <v>251.60026798071567</v>
      </c>
      <c r="Y106" s="16">
        <v>1.0741160403817427</v>
      </c>
      <c r="Z106" s="16">
        <v>2.7858470392971539</v>
      </c>
      <c r="AA106" s="16">
        <v>9.3157151424038656</v>
      </c>
      <c r="AB106" s="16">
        <v>27.146999999999998</v>
      </c>
      <c r="AC106" s="16">
        <f t="shared" si="1"/>
        <v>-1.7117309989154113</v>
      </c>
      <c r="AD106" s="8"/>
      <c r="AE106" s="8"/>
      <c r="AF106" s="12"/>
      <c r="AG106" s="12"/>
      <c r="AH106" s="12"/>
      <c r="AI106" s="12"/>
      <c r="AJ106" s="12"/>
      <c r="AK106" s="7"/>
      <c r="AL106" s="7"/>
      <c r="AM106" s="7"/>
      <c r="AN106" s="7"/>
      <c r="AO106" s="7"/>
      <c r="AP106" s="7"/>
      <c r="AQ106" s="7"/>
      <c r="AR106" s="7"/>
      <c r="AS106" s="7"/>
      <c r="AT106" s="7"/>
      <c r="AU106" s="7"/>
      <c r="AV106" s="7"/>
      <c r="AW106" s="7"/>
      <c r="AX106" s="7"/>
      <c r="AY106" s="7"/>
      <c r="AZ106" s="7"/>
      <c r="BA106" s="7"/>
      <c r="BB106" s="7"/>
      <c r="BC106" s="7"/>
    </row>
    <row r="107" spans="1:55" s="10" customFormat="1" x14ac:dyDescent="0.35">
      <c r="A107" s="12" t="s">
        <v>9</v>
      </c>
      <c r="B107" s="14">
        <v>5</v>
      </c>
      <c r="C107" s="13">
        <v>2013</v>
      </c>
      <c r="D107" s="16">
        <v>5.410349999498294</v>
      </c>
      <c r="E107" s="16">
        <v>2.4928662861121609</v>
      </c>
      <c r="F107" s="15">
        <v>27.283333333333299</v>
      </c>
      <c r="G107" s="18">
        <v>59.250999999999998</v>
      </c>
      <c r="H107" s="16">
        <v>-12.796508815537502</v>
      </c>
      <c r="I107" s="16">
        <v>4.1457850000000001</v>
      </c>
      <c r="J107" s="16">
        <v>12.452999999999999</v>
      </c>
      <c r="K107" s="16">
        <v>14.927537905729499</v>
      </c>
      <c r="L107" s="24">
        <v>45.886363636363633</v>
      </c>
      <c r="M107" s="23">
        <v>8.9818181818181824</v>
      </c>
      <c r="N107" s="23">
        <f>O107-L107</f>
        <v>-30.386363636363633</v>
      </c>
      <c r="O107" s="16">
        <v>15.5</v>
      </c>
      <c r="P107" s="16">
        <v>56.158470000000001</v>
      </c>
      <c r="Q107" s="16">
        <v>5.0999999999999996</v>
      </c>
      <c r="R107" s="16">
        <v>38.799999999999997</v>
      </c>
      <c r="S107" s="16">
        <v>15.749169999999999</v>
      </c>
      <c r="T107" s="16">
        <v>57.093000000000004</v>
      </c>
      <c r="U107" s="16">
        <v>18.433109999999999</v>
      </c>
      <c r="V107" s="16"/>
      <c r="W107" s="16">
        <v>-8.4079999999999995</v>
      </c>
      <c r="X107" s="34">
        <v>373.40792111111119</v>
      </c>
      <c r="Y107" s="16">
        <v>1.3662503990312784</v>
      </c>
      <c r="Z107" s="16">
        <v>2.4585029605751809</v>
      </c>
      <c r="AA107" s="16">
        <v>9.7087435618013025</v>
      </c>
      <c r="AB107" s="16">
        <v>28.276</v>
      </c>
      <c r="AC107" s="16">
        <f t="shared" si="1"/>
        <v>-1.0922525615439025</v>
      </c>
      <c r="AD107" s="8"/>
      <c r="AE107" s="8"/>
      <c r="AF107" s="12"/>
      <c r="AG107" s="12"/>
      <c r="AH107" s="12"/>
      <c r="AI107" s="12"/>
      <c r="AJ107" s="12"/>
      <c r="AK107" s="7"/>
      <c r="AL107" s="7"/>
      <c r="AM107" s="7"/>
      <c r="AN107" s="7"/>
      <c r="AO107" s="7"/>
      <c r="AP107" s="7"/>
      <c r="AQ107" s="7"/>
      <c r="AR107" s="7"/>
      <c r="AS107" s="7"/>
      <c r="AT107" s="7"/>
      <c r="AU107" s="7"/>
      <c r="AV107" s="7"/>
      <c r="AW107" s="7"/>
      <c r="AX107" s="7"/>
      <c r="AY107" s="7"/>
      <c r="AZ107" s="7"/>
      <c r="BA107" s="7"/>
      <c r="BB107" s="7"/>
      <c r="BC107" s="7"/>
    </row>
    <row r="108" spans="1:55" s="10" customFormat="1" x14ac:dyDescent="0.35">
      <c r="A108" s="12" t="s">
        <v>9</v>
      </c>
      <c r="B108" s="14">
        <v>5</v>
      </c>
      <c r="C108" s="13">
        <v>2014</v>
      </c>
      <c r="D108" s="16">
        <v>5.6252699997921809</v>
      </c>
      <c r="E108" s="16">
        <v>2.720274217152749</v>
      </c>
      <c r="F108" s="15">
        <v>23.792064946968701</v>
      </c>
      <c r="G108" s="18">
        <v>55.24</v>
      </c>
      <c r="H108" s="16">
        <v>-9.6891494826815308</v>
      </c>
      <c r="I108" s="16">
        <v>3.6052</v>
      </c>
      <c r="J108" s="16">
        <v>11.403600000000001</v>
      </c>
      <c r="K108" s="16">
        <v>19.277871021451119</v>
      </c>
      <c r="L108" s="25">
        <v>45.85</v>
      </c>
      <c r="M108" s="23">
        <v>7.8885714285714288</v>
      </c>
      <c r="N108" s="25">
        <v>29.758333333333336</v>
      </c>
      <c r="O108" s="16">
        <v>14.105</v>
      </c>
      <c r="P108" s="16">
        <v>56.56635</v>
      </c>
      <c r="Q108" s="16">
        <v>6.743868</v>
      </c>
      <c r="R108" s="16">
        <v>37.636200000000002</v>
      </c>
      <c r="S108" s="16">
        <v>14.318020000000001</v>
      </c>
      <c r="T108" s="16">
        <v>56.068519999999999</v>
      </c>
      <c r="U108" s="16">
        <v>17.02965</v>
      </c>
      <c r="V108" s="16"/>
      <c r="W108" s="16">
        <v>-8.3629999999999995</v>
      </c>
      <c r="X108" s="33">
        <v>437.83891810682297</v>
      </c>
      <c r="Y108" s="16">
        <v>0.75000336975310999</v>
      </c>
      <c r="Z108" s="16">
        <v>1.9152039240932686</v>
      </c>
      <c r="AA108" s="16">
        <v>10.949109255438156</v>
      </c>
      <c r="AB108" s="16">
        <v>24.986000000000001</v>
      </c>
      <c r="AC108" s="16">
        <f t="shared" si="1"/>
        <v>-1.1652005543401587</v>
      </c>
      <c r="AD108" s="8"/>
      <c r="AE108" s="8"/>
      <c r="AF108" s="12"/>
      <c r="AG108" s="12"/>
      <c r="AH108" s="12"/>
      <c r="AI108" s="12"/>
      <c r="AJ108" s="12"/>
      <c r="AK108" s="7"/>
      <c r="AL108" s="7"/>
      <c r="AM108" s="7"/>
      <c r="AN108" s="7"/>
      <c r="AO108" s="7"/>
      <c r="AP108" s="7"/>
      <c r="AQ108" s="7"/>
      <c r="AR108" s="7"/>
      <c r="AS108" s="7"/>
      <c r="AT108" s="7"/>
      <c r="AU108" s="7"/>
      <c r="AV108" s="7"/>
      <c r="AW108" s="7"/>
      <c r="AX108" s="7"/>
      <c r="AY108" s="7"/>
      <c r="AZ108" s="7"/>
      <c r="BA108" s="7"/>
      <c r="BB108" s="7"/>
      <c r="BC108" s="7"/>
    </row>
    <row r="109" spans="1:55" s="10" customFormat="1" ht="15.5" x14ac:dyDescent="0.35">
      <c r="A109" s="12" t="s">
        <v>9</v>
      </c>
      <c r="B109" s="14">
        <v>5</v>
      </c>
      <c r="C109" s="13">
        <v>2015</v>
      </c>
      <c r="D109" s="16">
        <v>2.800000001255043</v>
      </c>
      <c r="E109" s="16">
        <v>2.4030320595187504E-3</v>
      </c>
      <c r="F109" s="15">
        <v>21.8673475542553</v>
      </c>
      <c r="G109" s="18">
        <v>61.072000000000003</v>
      </c>
      <c r="H109" s="16">
        <v>-8.5378618893921612</v>
      </c>
      <c r="I109" s="16">
        <v>4.1712769999999999</v>
      </c>
      <c r="J109" s="16">
        <v>12.258599999999999</v>
      </c>
      <c r="K109" s="16">
        <v>20.508796460709149</v>
      </c>
      <c r="L109" s="26">
        <v>44.1</v>
      </c>
      <c r="M109" s="26">
        <v>7.4885714285714284</v>
      </c>
      <c r="N109" s="26">
        <f t="shared" ref="N109:N113" si="2">O109-L109</f>
        <v>-31.94079</v>
      </c>
      <c r="O109" s="16">
        <v>12.15921</v>
      </c>
      <c r="P109" s="16">
        <v>55.457819999999998</v>
      </c>
      <c r="Q109" s="16">
        <v>4.1869719999999999</v>
      </c>
      <c r="R109" s="16">
        <v>23.316140000000001</v>
      </c>
      <c r="S109" s="16">
        <v>14.83785</v>
      </c>
      <c r="T109" s="16">
        <v>34.956519999999998</v>
      </c>
      <c r="U109" s="16">
        <v>17.293130000000001</v>
      </c>
      <c r="V109" s="16">
        <v>26.834364685811945</v>
      </c>
      <c r="W109" s="16">
        <v>-9.4939999999999998</v>
      </c>
      <c r="X109" s="34">
        <v>507.08272641640201</v>
      </c>
      <c r="Y109" s="16">
        <v>0.5091717308159327</v>
      </c>
      <c r="Z109" s="16">
        <v>2.1705819461882636</v>
      </c>
      <c r="AA109" s="16">
        <v>10.536581779780949</v>
      </c>
      <c r="AB109" s="16">
        <v>24.713999999999999</v>
      </c>
      <c r="AC109" s="16">
        <f t="shared" si="1"/>
        <v>-1.6614102153723309</v>
      </c>
      <c r="AD109" s="8"/>
      <c r="AE109" s="8"/>
      <c r="AF109" s="12"/>
      <c r="AG109" s="12"/>
      <c r="AH109" s="12"/>
      <c r="AI109" s="12"/>
      <c r="AJ109" s="12"/>
      <c r="AK109" s="7"/>
      <c r="AL109" s="7"/>
      <c r="AM109" s="7"/>
      <c r="AN109" s="7"/>
      <c r="AO109" s="7"/>
      <c r="AP109" s="7"/>
      <c r="AQ109" s="7"/>
      <c r="AR109" s="7"/>
      <c r="AS109" s="7"/>
      <c r="AT109" s="7"/>
      <c r="AU109" s="7"/>
      <c r="AV109" s="7"/>
      <c r="AW109" s="7"/>
      <c r="AX109" s="7"/>
      <c r="AY109" s="7"/>
      <c r="AZ109" s="7"/>
      <c r="BA109" s="7"/>
      <c r="BB109" s="7"/>
      <c r="BC109" s="7"/>
    </row>
    <row r="110" spans="1:55" s="10" customFormat="1" ht="15.5" x14ac:dyDescent="0.35">
      <c r="A110" s="12" t="s">
        <v>9</v>
      </c>
      <c r="B110" s="14">
        <v>5</v>
      </c>
      <c r="C110" s="13">
        <v>2016</v>
      </c>
      <c r="D110" s="16">
        <v>2.4999999990207016</v>
      </c>
      <c r="E110" s="16">
        <v>-0.248244189153354</v>
      </c>
      <c r="F110" s="15">
        <v>21.711113213649899</v>
      </c>
      <c r="G110" s="18">
        <v>60.209000000000003</v>
      </c>
      <c r="H110" s="16">
        <v>-8.5855150394415176</v>
      </c>
      <c r="I110" s="16">
        <v>3.6020089999999998</v>
      </c>
      <c r="J110" s="16">
        <v>10.466799999999999</v>
      </c>
      <c r="K110" s="16">
        <v>19.801204715593546</v>
      </c>
      <c r="L110" s="24">
        <v>41.8125</v>
      </c>
      <c r="M110" s="24">
        <v>6.5785714285714283</v>
      </c>
      <c r="N110" s="26">
        <f t="shared" si="2"/>
        <v>-28.556660000000001</v>
      </c>
      <c r="O110" s="16">
        <v>13.255839999999999</v>
      </c>
      <c r="P110" s="16">
        <v>54.349289999999996</v>
      </c>
      <c r="Q110" s="16">
        <v>3.4691749999999999</v>
      </c>
      <c r="R110" s="16">
        <v>20.60586</v>
      </c>
      <c r="S110" s="16">
        <v>13.531189999999999</v>
      </c>
      <c r="T110" s="16">
        <v>40.00282</v>
      </c>
      <c r="U110" s="16">
        <v>16.16093</v>
      </c>
      <c r="V110" s="16">
        <v>36.21079148781844</v>
      </c>
      <c r="W110" s="16">
        <v>-13.47</v>
      </c>
      <c r="X110" s="34">
        <v>721.77058243718568</v>
      </c>
      <c r="Y110" s="16">
        <v>0.43747891916986503</v>
      </c>
      <c r="Z110" s="16">
        <v>2.273282634079111</v>
      </c>
      <c r="AA110" s="16">
        <v>10.638963161967048</v>
      </c>
      <c r="AB110" s="16">
        <v>23.733000000000001</v>
      </c>
      <c r="AC110" s="16">
        <f t="shared" si="1"/>
        <v>-1.8358037149092459</v>
      </c>
      <c r="AD110" s="8"/>
      <c r="AE110" s="8"/>
      <c r="AF110" s="12"/>
      <c r="AG110" s="12"/>
      <c r="AH110" s="12"/>
      <c r="AI110" s="12"/>
      <c r="AJ110" s="12"/>
      <c r="AK110" s="7"/>
      <c r="AL110" s="7"/>
      <c r="AM110" s="7"/>
      <c r="AN110" s="7"/>
      <c r="AO110" s="7"/>
      <c r="AP110" s="7"/>
      <c r="AQ110" s="7"/>
      <c r="AR110" s="7"/>
      <c r="AS110" s="7"/>
      <c r="AT110" s="7"/>
      <c r="AU110" s="7"/>
      <c r="AV110" s="7"/>
      <c r="AW110" s="7"/>
      <c r="AX110" s="7"/>
      <c r="AY110" s="7"/>
      <c r="AZ110" s="7"/>
      <c r="BA110" s="7"/>
      <c r="BB110" s="7"/>
      <c r="BC110" s="7"/>
    </row>
    <row r="111" spans="1:55" s="10" customFormat="1" ht="15.5" x14ac:dyDescent="0.35">
      <c r="A111" s="12" t="s">
        <v>9</v>
      </c>
      <c r="B111" s="14">
        <v>5</v>
      </c>
      <c r="C111" s="13">
        <v>2017</v>
      </c>
      <c r="D111" s="16">
        <v>4.0000000003821583</v>
      </c>
      <c r="E111" s="16">
        <v>1.2341585986335133</v>
      </c>
      <c r="F111" s="15">
        <v>11.543393918877101</v>
      </c>
      <c r="G111" s="18">
        <v>54.71</v>
      </c>
      <c r="H111" s="16">
        <v>-16.333544295730938</v>
      </c>
      <c r="I111" s="16">
        <v>3.7834301258741259</v>
      </c>
      <c r="J111" s="16">
        <v>17.375520117647056</v>
      </c>
      <c r="K111" s="16">
        <v>25.336202899203233</v>
      </c>
      <c r="L111" s="24">
        <v>34.875</v>
      </c>
      <c r="M111" s="24">
        <v>5.7404761904761914</v>
      </c>
      <c r="N111" s="26">
        <f t="shared" si="2"/>
        <v>-22.910139999999998</v>
      </c>
      <c r="O111" s="16">
        <v>11.96486</v>
      </c>
      <c r="P111" s="16">
        <v>53.240760000000002</v>
      </c>
      <c r="Q111" s="16">
        <v>2.9785439999999999</v>
      </c>
      <c r="R111" s="16">
        <v>18.300039999999999</v>
      </c>
      <c r="S111" s="16">
        <v>12.22453</v>
      </c>
      <c r="T111" s="16">
        <v>49.485239999999997</v>
      </c>
      <c r="U111" s="32">
        <v>15.292210000000001</v>
      </c>
      <c r="V111" s="16">
        <v>49.302440813455938</v>
      </c>
      <c r="W111" s="16">
        <v>-9.08</v>
      </c>
      <c r="X111" s="33">
        <v>733.30195988568096</v>
      </c>
      <c r="Y111" s="16">
        <v>0.50109520057100021</v>
      </c>
      <c r="Z111" s="16">
        <v>2.1609980831968607</v>
      </c>
      <c r="AA111" s="16">
        <v>12.184301943268014</v>
      </c>
      <c r="AB111" s="16">
        <v>24.774000000000001</v>
      </c>
      <c r="AC111" s="16">
        <f t="shared" si="1"/>
        <v>-1.6599028826258606</v>
      </c>
      <c r="AD111" s="8"/>
      <c r="AE111" s="8"/>
      <c r="AF111" s="12"/>
      <c r="AG111" s="12"/>
      <c r="AH111" s="12"/>
      <c r="AI111" s="12"/>
      <c r="AJ111" s="12"/>
      <c r="AK111" s="7"/>
      <c r="AL111" s="7"/>
      <c r="AM111" s="7"/>
      <c r="AN111" s="7"/>
      <c r="AO111" s="7"/>
      <c r="AP111" s="7"/>
      <c r="AQ111" s="7"/>
      <c r="AR111" s="7"/>
      <c r="AS111" s="7"/>
      <c r="AT111" s="7"/>
      <c r="AU111" s="7"/>
      <c r="AV111" s="7"/>
      <c r="AW111" s="7"/>
      <c r="AX111" s="7"/>
      <c r="AY111" s="7"/>
      <c r="AZ111" s="7"/>
      <c r="BA111" s="7"/>
      <c r="BB111" s="7"/>
      <c r="BC111" s="7"/>
    </row>
    <row r="112" spans="1:55" s="10" customFormat="1" ht="15.5" x14ac:dyDescent="0.35">
      <c r="A112" s="12" t="s">
        <v>9</v>
      </c>
      <c r="B112" s="14">
        <v>5</v>
      </c>
      <c r="C112" s="13">
        <v>2018</v>
      </c>
      <c r="D112" s="16">
        <v>4.391688296098863</v>
      </c>
      <c r="E112" s="16">
        <v>1.625495536665241</v>
      </c>
      <c r="F112" s="15">
        <v>12.420178108921</v>
      </c>
      <c r="G112" s="18">
        <v>53.225999999999999</v>
      </c>
      <c r="H112" s="16">
        <v>-8.0427664984816829</v>
      </c>
      <c r="I112" s="16">
        <v>3.8548226363636364</v>
      </c>
      <c r="J112" s="16">
        <v>18.135994499999995</v>
      </c>
      <c r="K112" s="16">
        <v>24.6500794575411</v>
      </c>
      <c r="L112" s="24">
        <v>32.285714285714285</v>
      </c>
      <c r="M112" s="24">
        <v>4.9571428571428573</v>
      </c>
      <c r="N112" s="26">
        <f t="shared" si="2"/>
        <v>-22.244434285714284</v>
      </c>
      <c r="O112" s="16">
        <v>10.04128</v>
      </c>
      <c r="P112" s="16">
        <v>52.13223</v>
      </c>
      <c r="Q112" s="16">
        <v>2.867302</v>
      </c>
      <c r="R112" s="16">
        <v>17.858689999999999</v>
      </c>
      <c r="S112" s="16">
        <v>10.917870000000001</v>
      </c>
      <c r="T112" s="16">
        <v>47.006900000000002</v>
      </c>
      <c r="U112" s="32">
        <v>14.857849999999999</v>
      </c>
      <c r="V112" s="16">
        <v>51.529781118360532</v>
      </c>
      <c r="W112" s="16">
        <v>-8.0510000000000002</v>
      </c>
      <c r="X112" s="16">
        <v>735.01398064893749</v>
      </c>
      <c r="Y112" s="16">
        <v>0.62989627727983888</v>
      </c>
      <c r="Z112" s="16">
        <v>2.8447701788550197</v>
      </c>
      <c r="AA112" s="16">
        <v>12.173878249450659</v>
      </c>
      <c r="AB112" s="16">
        <v>23.649000000000001</v>
      </c>
      <c r="AC112" s="16">
        <f t="shared" si="1"/>
        <v>-2.2148739015751806</v>
      </c>
      <c r="AD112" s="8"/>
      <c r="AE112" s="8"/>
      <c r="AF112" s="12"/>
      <c r="AG112" s="12"/>
      <c r="AH112" s="12"/>
      <c r="AI112" s="12"/>
      <c r="AJ112" s="12"/>
      <c r="AK112" s="7"/>
      <c r="AL112" s="7"/>
      <c r="AM112" s="7"/>
      <c r="AN112" s="7"/>
      <c r="AO112" s="7"/>
      <c r="AP112" s="7"/>
      <c r="AQ112" s="7"/>
      <c r="AR112" s="7"/>
      <c r="AS112" s="7"/>
      <c r="AT112" s="7"/>
      <c r="AU112" s="7"/>
      <c r="AV112" s="7"/>
      <c r="AW112" s="7"/>
      <c r="AX112" s="7"/>
      <c r="AY112" s="7"/>
      <c r="AZ112" s="7"/>
      <c r="BA112" s="7"/>
      <c r="BB112" s="7"/>
      <c r="BC112" s="7"/>
    </row>
    <row r="113" spans="1:55" s="10" customFormat="1" x14ac:dyDescent="0.35">
      <c r="A113" s="12" t="s">
        <v>9</v>
      </c>
      <c r="B113" s="14">
        <v>5</v>
      </c>
      <c r="C113" s="13">
        <v>2019</v>
      </c>
      <c r="D113" s="16">
        <v>5.4481813361728655</v>
      </c>
      <c r="E113" s="16">
        <v>2.6567690684491652</v>
      </c>
      <c r="F113" s="15">
        <v>9.3708360560567208</v>
      </c>
      <c r="G113" s="18">
        <v>51.426000000000002</v>
      </c>
      <c r="H113" s="16">
        <v>-8.8518406942023731</v>
      </c>
      <c r="I113" s="16">
        <v>3.926215146853147</v>
      </c>
      <c r="J113" s="16">
        <v>18.896468882352938</v>
      </c>
      <c r="K113" s="16">
        <v>16.658528523490219</v>
      </c>
      <c r="L113" s="24">
        <v>24.327777777777776</v>
      </c>
      <c r="M113" s="24">
        <v>4.2080687830687831</v>
      </c>
      <c r="N113" s="24">
        <f t="shared" si="2"/>
        <v>-14.366457777777775</v>
      </c>
      <c r="O113" s="16">
        <v>9.9613200000000006</v>
      </c>
      <c r="P113" s="16">
        <v>51.023699999999998</v>
      </c>
      <c r="Q113" s="16">
        <v>3.4753240000000001</v>
      </c>
      <c r="R113" s="16">
        <v>21.355029999999999</v>
      </c>
      <c r="S113" s="16">
        <v>9.6112099999999998</v>
      </c>
      <c r="T113" s="16">
        <v>39.882800000000003</v>
      </c>
      <c r="U113" s="32">
        <v>14.423490000000001</v>
      </c>
      <c r="V113" s="16">
        <v>34.355306064444271</v>
      </c>
      <c r="W113" s="16">
        <v>-7.8179999999999996</v>
      </c>
      <c r="X113" s="16">
        <v>748.77475748892039</v>
      </c>
      <c r="Y113" s="16">
        <v>0.36760380637447954</v>
      </c>
      <c r="Z113" s="16">
        <v>2.2437878938844111</v>
      </c>
      <c r="AA113" s="16">
        <v>12.003989610934941</v>
      </c>
      <c r="AB113" s="16">
        <v>23.29</v>
      </c>
      <c r="AC113" s="16">
        <f t="shared" si="1"/>
        <v>-1.8761840875099316</v>
      </c>
      <c r="AD113" s="8"/>
      <c r="AE113" s="8"/>
      <c r="AF113" s="12"/>
      <c r="AG113" s="12"/>
      <c r="AH113" s="12"/>
      <c r="AI113" s="12"/>
      <c r="AJ113" s="12"/>
      <c r="AK113" s="7"/>
      <c r="AL113" s="7"/>
      <c r="AM113" s="7"/>
      <c r="AN113" s="7"/>
      <c r="AO113" s="7"/>
      <c r="AP113" s="7"/>
      <c r="AQ113" s="7"/>
      <c r="AR113" s="7"/>
      <c r="AS113" s="7"/>
      <c r="AT113" s="7"/>
      <c r="AU113" s="7"/>
      <c r="AV113" s="7"/>
      <c r="AW113" s="7"/>
      <c r="AX113" s="7"/>
      <c r="AY113" s="7"/>
      <c r="AZ113" s="7"/>
      <c r="BA113" s="7"/>
      <c r="BB113" s="7"/>
      <c r="BC113" s="7"/>
    </row>
    <row r="114" spans="1:55" s="10" customFormat="1" x14ac:dyDescent="0.35">
      <c r="A114" s="12" t="s">
        <v>9</v>
      </c>
      <c r="B114" s="14">
        <v>5</v>
      </c>
      <c r="C114" s="13">
        <v>2020</v>
      </c>
      <c r="D114" s="16">
        <v>0.79999833090272432</v>
      </c>
      <c r="E114" s="16">
        <v>-1.851599780349602</v>
      </c>
      <c r="F114" s="15">
        <v>8.6255146965054994</v>
      </c>
      <c r="G114" s="18">
        <v>48.963999999999999</v>
      </c>
      <c r="H114" s="16">
        <v>-29.281700892696527</v>
      </c>
      <c r="I114" s="16">
        <v>3.9976076573426571</v>
      </c>
      <c r="J114" s="16">
        <v>19.656943264705877</v>
      </c>
      <c r="K114" s="16">
        <v>13.895987862838323</v>
      </c>
      <c r="L114" s="24">
        <v>23.967499999999998</v>
      </c>
      <c r="M114" s="24">
        <v>3.965327380952381</v>
      </c>
      <c r="N114" s="24">
        <v>-14.364457777777799</v>
      </c>
      <c r="O114" s="16">
        <v>9.6064939999999996</v>
      </c>
      <c r="P114" s="16">
        <v>49.915170000000003</v>
      </c>
      <c r="Q114" s="16">
        <v>4.323474</v>
      </c>
      <c r="R114" s="16">
        <v>26.21762</v>
      </c>
      <c r="S114" s="16">
        <v>8.304549999999999</v>
      </c>
      <c r="T114" s="16">
        <v>40.847270000000002</v>
      </c>
      <c r="U114" s="32">
        <v>13.989129999999999</v>
      </c>
      <c r="V114" s="16">
        <v>28.567909359553241</v>
      </c>
      <c r="W114" s="16">
        <v>-7.8029999999999999</v>
      </c>
      <c r="X114" s="16">
        <v>751.25347937732056</v>
      </c>
      <c r="Y114" s="16">
        <v>0.53950605407951435</v>
      </c>
      <c r="Z114" s="16">
        <v>2.4062672306580084</v>
      </c>
      <c r="AA114" s="16">
        <v>11.841996423858655</v>
      </c>
      <c r="AB114" s="16">
        <v>23.210999999999999</v>
      </c>
      <c r="AC114" s="16">
        <f t="shared" si="1"/>
        <v>-1.8667611765784939</v>
      </c>
      <c r="AD114" s="8"/>
      <c r="AE114" s="8"/>
      <c r="AF114" s="12"/>
      <c r="AG114" s="12"/>
      <c r="AH114" s="12"/>
      <c r="AI114" s="12"/>
      <c r="AJ114" s="12"/>
      <c r="AK114" s="7"/>
      <c r="AL114" s="7"/>
      <c r="AM114" s="7"/>
      <c r="AN114" s="7"/>
      <c r="AO114" s="7"/>
      <c r="AP114" s="7"/>
      <c r="AQ114" s="7"/>
      <c r="AR114" s="7"/>
      <c r="AS114" s="7"/>
      <c r="AT114" s="7"/>
      <c r="AU114" s="7"/>
      <c r="AV114" s="7"/>
      <c r="AW114" s="7"/>
      <c r="AX114" s="7"/>
      <c r="AY114" s="7"/>
      <c r="AZ114" s="7"/>
      <c r="BA114" s="7"/>
      <c r="BB114" s="7"/>
      <c r="BC114" s="7"/>
    </row>
    <row r="115" spans="1:55" x14ac:dyDescent="0.35">
      <c r="A115" s="12" t="s">
        <v>9</v>
      </c>
      <c r="B115" s="14">
        <v>5</v>
      </c>
      <c r="C115" s="13">
        <v>2021</v>
      </c>
      <c r="D115" s="16">
        <v>2.7514026088752814</v>
      </c>
      <c r="E115" s="16">
        <v>0.10286690434371337</v>
      </c>
      <c r="F115" s="15">
        <v>9.3301441083521492</v>
      </c>
      <c r="G115" s="18">
        <v>47.088000000000001</v>
      </c>
      <c r="H115" s="16">
        <v>-21.825865914054919</v>
      </c>
      <c r="I115" s="16">
        <v>4.0690001678321677</v>
      </c>
      <c r="J115" s="16">
        <v>20.417417647058819</v>
      </c>
      <c r="K115" s="16">
        <v>13.254763395217298</v>
      </c>
      <c r="L115" s="24">
        <v>23.817499999999999</v>
      </c>
      <c r="M115" s="24">
        <v>3.965327380952381</v>
      </c>
      <c r="N115" s="24">
        <v>-16.566457777777799</v>
      </c>
      <c r="O115" s="16">
        <v>7.2553400000000003</v>
      </c>
      <c r="P115" s="16">
        <v>48.806640000000002</v>
      </c>
      <c r="Q115" s="16">
        <v>3.0356239999999999</v>
      </c>
      <c r="R115" s="16">
        <v>19.088090000000001</v>
      </c>
      <c r="S115" s="16">
        <v>8.9978899999999999</v>
      </c>
      <c r="T115" s="16">
        <v>32.045029999999997</v>
      </c>
      <c r="U115" s="32">
        <v>15.726569999999999</v>
      </c>
      <c r="V115" s="16">
        <v>35.313912787952994</v>
      </c>
      <c r="W115" s="16">
        <v>-7.68</v>
      </c>
      <c r="X115" s="16">
        <v>807.67150418038864</v>
      </c>
      <c r="Y115" s="16">
        <v>0.47244105741780967</v>
      </c>
      <c r="Z115" s="16">
        <v>0.7657713881694147</v>
      </c>
      <c r="AA115" s="16">
        <v>11.381598621887422</v>
      </c>
      <c r="AB115" s="16">
        <v>22.867000000000001</v>
      </c>
      <c r="AC115" s="16">
        <f t="shared" si="1"/>
        <v>-0.29333033075160503</v>
      </c>
    </row>
    <row r="116" spans="1:55" x14ac:dyDescent="0.35">
      <c r="A116" s="12" t="s">
        <v>9</v>
      </c>
      <c r="B116" s="14">
        <v>5</v>
      </c>
      <c r="C116" s="13">
        <v>2022</v>
      </c>
      <c r="D116" s="16">
        <v>0.92343629010748884</v>
      </c>
      <c r="E116" s="16">
        <v>-1.6265657836300562</v>
      </c>
      <c r="F116" s="15">
        <v>20.9539697299689</v>
      </c>
      <c r="G116" s="15">
        <v>45.459000000000003</v>
      </c>
      <c r="H116" s="16">
        <v>-32.754429876567244</v>
      </c>
      <c r="I116" s="16">
        <v>4.1403926783216782</v>
      </c>
      <c r="J116" s="16">
        <v>21.177892029411762</v>
      </c>
      <c r="K116" s="16">
        <v>2.8394558364346092</v>
      </c>
      <c r="L116" s="16">
        <v>25.351666666666699</v>
      </c>
      <c r="M116" s="16"/>
      <c r="N116" s="24">
        <v>-11.366457777777775</v>
      </c>
      <c r="O116" s="16"/>
      <c r="P116" s="16">
        <v>47.69811</v>
      </c>
      <c r="Q116" s="16">
        <v>6.4</v>
      </c>
      <c r="R116" s="16">
        <v>37.1</v>
      </c>
      <c r="S116" s="16">
        <v>11.691229999999999</v>
      </c>
      <c r="T116" s="16">
        <v>54.2</v>
      </c>
      <c r="U116" s="32">
        <v>17.464009999999998</v>
      </c>
      <c r="V116" s="16">
        <v>33.765180985728129</v>
      </c>
      <c r="W116" s="16">
        <v>-7.3760000000000003</v>
      </c>
      <c r="X116" s="16"/>
      <c r="Y116" s="16"/>
      <c r="Z116" s="16"/>
      <c r="AA116" s="16">
        <v>11.070403127363663</v>
      </c>
      <c r="AB116" s="16">
        <v>22.701000000000001</v>
      </c>
      <c r="AC116" s="16">
        <f t="shared" si="1"/>
        <v>0</v>
      </c>
    </row>
    <row r="117" spans="1:55" x14ac:dyDescent="0.35">
      <c r="A117" s="12" t="s">
        <v>10</v>
      </c>
      <c r="B117" s="14">
        <v>6</v>
      </c>
      <c r="C117" s="13">
        <v>2000</v>
      </c>
      <c r="D117" s="16">
        <v>-3.9180258792329283</v>
      </c>
      <c r="E117" s="16">
        <v>-6.5702419319764971</v>
      </c>
      <c r="F117" s="21">
        <v>4.7569999999999997</v>
      </c>
      <c r="G117" s="15">
        <v>45.298000000000002</v>
      </c>
      <c r="H117" s="22">
        <v>-4.6539999999999999</v>
      </c>
      <c r="I117" s="16">
        <v>13.951460000000001</v>
      </c>
      <c r="J117" s="16">
        <v>56.5017</v>
      </c>
      <c r="K117" s="16">
        <v>18.083177845835863</v>
      </c>
      <c r="L117" s="16">
        <v>25.5833333333333</v>
      </c>
      <c r="M117" s="16">
        <v>9.4166666666666696</v>
      </c>
      <c r="N117" s="16">
        <v>16.166666666666629</v>
      </c>
      <c r="O117" s="16">
        <v>4.0510710000000003</v>
      </c>
      <c r="P117" s="16">
        <v>77.882350000000002</v>
      </c>
      <c r="Q117" s="16">
        <v>3.622522</v>
      </c>
      <c r="R117" s="16">
        <v>15.726050000000001</v>
      </c>
      <c r="S117" s="16">
        <v>69.479169999999996</v>
      </c>
      <c r="T117" s="16">
        <v>49.208419999999997</v>
      </c>
      <c r="U117" s="16">
        <v>74.747299999999996</v>
      </c>
      <c r="V117" s="16"/>
      <c r="W117" s="16">
        <v>-0.79215011878235131</v>
      </c>
      <c r="X117" s="16">
        <v>11.657</v>
      </c>
      <c r="Y117" s="16">
        <v>25.517115714084326</v>
      </c>
      <c r="Z117" s="16">
        <v>33.423259052982445</v>
      </c>
      <c r="AA117" s="16">
        <v>16.953664022796964</v>
      </c>
      <c r="AB117" s="16">
        <v>18.873000000000001</v>
      </c>
      <c r="AC117" s="16">
        <f t="shared" si="1"/>
        <v>-7.9061433388981186</v>
      </c>
    </row>
    <row r="118" spans="1:55" x14ac:dyDescent="0.35">
      <c r="A118" s="12" t="s">
        <v>10</v>
      </c>
      <c r="B118" s="14">
        <v>6</v>
      </c>
      <c r="C118" s="13">
        <v>2001</v>
      </c>
      <c r="D118" s="16">
        <v>-0.7994938157893472</v>
      </c>
      <c r="E118" s="16">
        <v>-3.1995671815441256</v>
      </c>
      <c r="F118" s="21">
        <v>4.9829999999999997</v>
      </c>
      <c r="G118" s="15">
        <v>44.801000000000002</v>
      </c>
      <c r="H118" s="22">
        <v>-5.851</v>
      </c>
      <c r="I118" s="16">
        <v>15.280099999999999</v>
      </c>
      <c r="J118" s="16">
        <v>56.852699999999999</v>
      </c>
      <c r="K118" s="16">
        <v>15.755375370611318</v>
      </c>
      <c r="L118" s="16">
        <v>22.5</v>
      </c>
      <c r="M118" s="16">
        <v>8</v>
      </c>
      <c r="N118" s="16">
        <v>14.5</v>
      </c>
      <c r="O118" s="16">
        <v>3.7072780000000001</v>
      </c>
      <c r="P118" s="16">
        <v>77.552080000000004</v>
      </c>
      <c r="Q118" s="16">
        <v>3.4645830000000002</v>
      </c>
      <c r="R118" s="16">
        <v>16.039239999999999</v>
      </c>
      <c r="S118" s="16">
        <v>70.208449999999999</v>
      </c>
      <c r="T118" s="16">
        <v>43.249079999999999</v>
      </c>
      <c r="U118" s="16">
        <v>75.536429999999996</v>
      </c>
      <c r="V118" s="16"/>
      <c r="W118" s="16">
        <v>5.9840175356273235</v>
      </c>
      <c r="X118" s="16">
        <v>12.122999999999999</v>
      </c>
      <c r="Y118" s="16">
        <v>25.536995080515982</v>
      </c>
      <c r="Z118" s="16">
        <v>35.164217379955545</v>
      </c>
      <c r="AA118" s="16">
        <v>15.140801285536472</v>
      </c>
      <c r="AB118" s="16">
        <v>17.849</v>
      </c>
      <c r="AC118" s="16">
        <f t="shared" si="1"/>
        <v>-9.6272222994395626</v>
      </c>
    </row>
    <row r="119" spans="1:55" x14ac:dyDescent="0.35">
      <c r="A119" s="12" t="s">
        <v>10</v>
      </c>
      <c r="B119" s="14">
        <v>6</v>
      </c>
      <c r="C119" s="13">
        <v>2002</v>
      </c>
      <c r="D119" s="16">
        <v>1.3814839619905825</v>
      </c>
      <c r="E119" s="16">
        <v>-0.76995552673095347</v>
      </c>
      <c r="F119" s="21">
        <v>5.133</v>
      </c>
      <c r="G119" s="15">
        <v>52.531999999999996</v>
      </c>
      <c r="H119" s="22">
        <v>-5.484</v>
      </c>
      <c r="I119" s="16">
        <v>20.709199999999999</v>
      </c>
      <c r="J119" s="16">
        <v>57.695500000000003</v>
      </c>
      <c r="K119" s="16">
        <v>13.386343910532599</v>
      </c>
      <c r="L119" s="16">
        <v>21</v>
      </c>
      <c r="M119" s="16">
        <v>8</v>
      </c>
      <c r="N119" s="16">
        <v>13</v>
      </c>
      <c r="O119" s="16">
        <v>2.7744939999999998</v>
      </c>
      <c r="P119" s="16">
        <v>75.357439999999997</v>
      </c>
      <c r="Q119" s="16">
        <v>3.365113</v>
      </c>
      <c r="R119" s="16">
        <v>20.26031</v>
      </c>
      <c r="S119" s="16">
        <v>73.324420000000003</v>
      </c>
      <c r="T119" s="16">
        <v>39.454999999999998</v>
      </c>
      <c r="U119" s="16">
        <v>78.868480000000005</v>
      </c>
      <c r="V119" s="16"/>
      <c r="W119" s="16">
        <v>5.1512334759864418</v>
      </c>
      <c r="X119" s="16">
        <v>12.680999999999999</v>
      </c>
      <c r="Y119" s="16">
        <v>24.773608402842328</v>
      </c>
      <c r="Z119" s="16">
        <v>32.011921197338253</v>
      </c>
      <c r="AA119" s="16">
        <v>15.006548804180714</v>
      </c>
      <c r="AB119" s="16">
        <v>19.154</v>
      </c>
      <c r="AC119" s="16">
        <f t="shared" si="1"/>
        <v>-7.2383127944959256</v>
      </c>
    </row>
    <row r="120" spans="1:55" x14ac:dyDescent="0.35">
      <c r="A120" s="12" t="s">
        <v>10</v>
      </c>
      <c r="B120" s="14">
        <v>6</v>
      </c>
      <c r="C120" s="13">
        <v>2003</v>
      </c>
      <c r="D120" s="16">
        <v>6.9282695510630248</v>
      </c>
      <c r="E120" s="16">
        <v>4.6429779279357319</v>
      </c>
      <c r="F120" s="21">
        <v>3.6989999999999998</v>
      </c>
      <c r="G120" s="15">
        <v>59.103000000000002</v>
      </c>
      <c r="H120" s="22">
        <v>-5.0960000000000001</v>
      </c>
      <c r="I120" s="16">
        <v>26.38325</v>
      </c>
      <c r="J120" s="16">
        <v>70.644400000000005</v>
      </c>
      <c r="K120" s="16">
        <v>15.805564985853286</v>
      </c>
      <c r="L120" s="16">
        <v>21</v>
      </c>
      <c r="M120" s="16">
        <v>8</v>
      </c>
      <c r="N120" s="16">
        <v>13</v>
      </c>
      <c r="O120" s="16">
        <v>4.2770359999999998</v>
      </c>
      <c r="P120" s="16">
        <v>83.40204</v>
      </c>
      <c r="Q120" s="16">
        <v>2.4677060000000002</v>
      </c>
      <c r="R120" s="16">
        <v>12.99051</v>
      </c>
      <c r="S120" s="16">
        <v>81.061009999999996</v>
      </c>
      <c r="T120" s="16">
        <v>26.277010000000001</v>
      </c>
      <c r="U120" s="16">
        <v>86.68571</v>
      </c>
      <c r="V120" s="16"/>
      <c r="W120" s="16">
        <v>1.6019212373767706</v>
      </c>
      <c r="X120" s="16">
        <v>13.124000000000001</v>
      </c>
      <c r="Y120" s="16">
        <v>19.124772175472842</v>
      </c>
      <c r="Z120" s="16">
        <v>36.193252157770964</v>
      </c>
      <c r="AA120" s="16">
        <v>16.095327619903223</v>
      </c>
      <c r="AB120" s="16">
        <v>19.71</v>
      </c>
      <c r="AC120" s="16">
        <f t="shared" si="1"/>
        <v>-17.068479982298122</v>
      </c>
    </row>
    <row r="121" spans="1:55" x14ac:dyDescent="0.35">
      <c r="A121" s="12" t="s">
        <v>10</v>
      </c>
      <c r="B121" s="14">
        <v>6</v>
      </c>
      <c r="C121" s="13">
        <v>2004</v>
      </c>
      <c r="D121" s="16">
        <v>4.7327579245202998</v>
      </c>
      <c r="E121" s="16">
        <v>2.4846419912866367</v>
      </c>
      <c r="F121" s="21">
        <v>5.4859999999999998</v>
      </c>
      <c r="G121" s="15">
        <v>51.697000000000003</v>
      </c>
      <c r="H121" s="22">
        <v>-4.5949999999999998</v>
      </c>
      <c r="I121" s="16">
        <v>27.12791</v>
      </c>
      <c r="J121" s="16">
        <v>70.907799999999995</v>
      </c>
      <c r="K121" s="16">
        <v>9.0703827453027905</v>
      </c>
      <c r="L121" s="16">
        <v>21</v>
      </c>
      <c r="M121" s="16">
        <v>8</v>
      </c>
      <c r="N121" s="16">
        <v>13</v>
      </c>
      <c r="O121" s="16">
        <v>3.3904890000000001</v>
      </c>
      <c r="P121" s="16">
        <v>78.519530000000003</v>
      </c>
      <c r="Q121" s="16">
        <v>1.749134</v>
      </c>
      <c r="R121" s="16">
        <v>8.5200230000000001</v>
      </c>
      <c r="S121" s="16">
        <v>86.408510000000007</v>
      </c>
      <c r="T121" s="16">
        <v>24.063120000000001</v>
      </c>
      <c r="U121" s="16">
        <v>92.235979999999998</v>
      </c>
      <c r="V121" s="16"/>
      <c r="W121" s="16">
        <v>-1.6992121734549992</v>
      </c>
      <c r="X121" s="16">
        <v>13.651999999999999</v>
      </c>
      <c r="Y121" s="16">
        <v>23.269257568695707</v>
      </c>
      <c r="Z121" s="16">
        <v>51.949547110100205</v>
      </c>
      <c r="AA121" s="16">
        <v>16.240267058842988</v>
      </c>
      <c r="AB121" s="16">
        <v>19.271000000000001</v>
      </c>
      <c r="AC121" s="16">
        <f t="shared" si="1"/>
        <v>-28.680289541404498</v>
      </c>
    </row>
    <row r="122" spans="1:55" x14ac:dyDescent="0.35">
      <c r="A122" s="12" t="s">
        <v>10</v>
      </c>
      <c r="B122" s="14">
        <v>6</v>
      </c>
      <c r="C122" s="13">
        <v>2005</v>
      </c>
      <c r="D122" s="16">
        <v>8.5662872490666757</v>
      </c>
      <c r="E122" s="16">
        <v>6.1953776610095304</v>
      </c>
      <c r="F122" s="21">
        <v>3.8239999999999998</v>
      </c>
      <c r="G122" s="15">
        <v>53.53</v>
      </c>
      <c r="H122" s="22">
        <v>-4.7</v>
      </c>
      <c r="I122" s="16">
        <v>28.497219999999999</v>
      </c>
      <c r="J122" s="16">
        <v>72.898799999999994</v>
      </c>
      <c r="K122" s="16">
        <v>7.4163764357422117</v>
      </c>
      <c r="L122" s="16">
        <v>23.0833333333333</v>
      </c>
      <c r="M122" s="16">
        <v>8</v>
      </c>
      <c r="N122" s="16">
        <v>15.0833333333333</v>
      </c>
      <c r="O122" s="16">
        <v>3.0805289999999999</v>
      </c>
      <c r="P122" s="16">
        <v>79.611949999999993</v>
      </c>
      <c r="Q122" s="16">
        <v>1.7998209999999999</v>
      </c>
      <c r="R122" s="16">
        <v>9.5131610000000002</v>
      </c>
      <c r="S122" s="16">
        <v>87.580060000000003</v>
      </c>
      <c r="T122" s="16">
        <v>26.294250000000002</v>
      </c>
      <c r="U122" s="16">
        <v>93.732169999999996</v>
      </c>
      <c r="V122" s="16"/>
      <c r="W122" s="16">
        <v>-4.9925150152472053</v>
      </c>
      <c r="X122" s="16">
        <v>13.792</v>
      </c>
      <c r="Y122" s="16">
        <v>26.753247053687474</v>
      </c>
      <c r="Z122" s="16">
        <v>61.481852505961655</v>
      </c>
      <c r="AA122" s="16">
        <v>17.256387108996474</v>
      </c>
      <c r="AB122" s="16">
        <v>19.664000000000001</v>
      </c>
      <c r="AC122" s="16">
        <f t="shared" si="1"/>
        <v>-34.728605452274181</v>
      </c>
    </row>
    <row r="123" spans="1:55" x14ac:dyDescent="0.35">
      <c r="A123" s="12" t="s">
        <v>10</v>
      </c>
      <c r="B123" s="14">
        <v>6</v>
      </c>
      <c r="C123" s="13">
        <v>2006</v>
      </c>
      <c r="D123" s="16">
        <v>18.333198759771349</v>
      </c>
      <c r="E123" s="16">
        <v>15.688316128397076</v>
      </c>
      <c r="F123" s="21">
        <v>11.614000000000001</v>
      </c>
      <c r="G123" s="15">
        <v>51.015000000000001</v>
      </c>
      <c r="H123" s="22">
        <v>-4.3849999999999998</v>
      </c>
      <c r="I123" s="16">
        <v>23.69849</v>
      </c>
      <c r="J123" s="16">
        <v>68.687899999999999</v>
      </c>
      <c r="K123" s="16">
        <v>8.6851124830778517</v>
      </c>
      <c r="L123" s="16">
        <v>24</v>
      </c>
      <c r="M123" s="16">
        <v>8</v>
      </c>
      <c r="N123" s="16">
        <v>16</v>
      </c>
      <c r="O123" s="16">
        <v>3.1160890000000001</v>
      </c>
      <c r="P123" s="16">
        <v>79.416160000000005</v>
      </c>
      <c r="Q123" s="16">
        <v>1.6317060000000001</v>
      </c>
      <c r="R123" s="16">
        <v>9.366498</v>
      </c>
      <c r="S123" s="16">
        <v>86.383330000000001</v>
      </c>
      <c r="T123" s="16">
        <v>45.855960000000003</v>
      </c>
      <c r="U123" s="16">
        <v>92.506839999999997</v>
      </c>
      <c r="V123" s="16"/>
      <c r="W123" s="16">
        <v>-8.5990405170196968</v>
      </c>
      <c r="X123" s="16">
        <v>14.278</v>
      </c>
      <c r="Y123" s="16">
        <v>42.364103327396684</v>
      </c>
      <c r="Z123" s="16">
        <v>40.424397885635585</v>
      </c>
      <c r="AA123" s="16">
        <v>16.028671422802532</v>
      </c>
      <c r="AB123" s="16">
        <v>19.065999999999999</v>
      </c>
      <c r="AC123" s="16">
        <f t="shared" si="1"/>
        <v>1.9397054417610988</v>
      </c>
    </row>
    <row r="124" spans="1:55" x14ac:dyDescent="0.35">
      <c r="A124" s="12" t="s">
        <v>10</v>
      </c>
      <c r="B124" s="14">
        <v>6</v>
      </c>
      <c r="C124" s="13">
        <v>2007</v>
      </c>
      <c r="D124" s="16">
        <v>-1.9694227516076097</v>
      </c>
      <c r="E124" s="16">
        <v>-4.2163021294105363</v>
      </c>
      <c r="F124" s="21">
        <v>8.5969999999999995</v>
      </c>
      <c r="G124" s="15">
        <v>47.283000000000001</v>
      </c>
      <c r="H124" s="22">
        <v>-3.2730000000000001</v>
      </c>
      <c r="I124" s="16">
        <v>21.540949999999999</v>
      </c>
      <c r="J124" s="16">
        <v>71.746700000000004</v>
      </c>
      <c r="K124" s="16">
        <v>13.411392435212832</v>
      </c>
      <c r="L124" s="16">
        <v>23.5</v>
      </c>
      <c r="M124" s="16">
        <v>8</v>
      </c>
      <c r="N124" s="16">
        <v>15.5</v>
      </c>
      <c r="O124" s="16">
        <v>3.515936</v>
      </c>
      <c r="P124" s="16">
        <v>81.933729999999997</v>
      </c>
      <c r="Q124" s="16">
        <v>1.780613</v>
      </c>
      <c r="R124" s="16">
        <v>13.90935</v>
      </c>
      <c r="S124" s="16">
        <v>87.478999999999999</v>
      </c>
      <c r="T124" s="16">
        <v>46.751910000000002</v>
      </c>
      <c r="U124" s="16">
        <v>93.245199999999997</v>
      </c>
      <c r="V124" s="16"/>
      <c r="W124" s="16">
        <v>-5.3242571515523451</v>
      </c>
      <c r="X124" s="16">
        <v>15.015000000000001</v>
      </c>
      <c r="Y124" s="16">
        <v>40.523161798288562</v>
      </c>
      <c r="Z124" s="16">
        <v>45.540893879624683</v>
      </c>
      <c r="AA124" s="16">
        <v>15.105461755175128</v>
      </c>
      <c r="AB124" s="16">
        <v>19.547000000000001</v>
      </c>
      <c r="AC124" s="16">
        <f t="shared" si="1"/>
        <v>-5.0177320813361206</v>
      </c>
    </row>
    <row r="125" spans="1:55" x14ac:dyDescent="0.35">
      <c r="A125" s="12" t="s">
        <v>10</v>
      </c>
      <c r="B125" s="14">
        <v>6</v>
      </c>
      <c r="C125" s="13">
        <v>2008</v>
      </c>
      <c r="D125" s="16">
        <v>-0.33107919527837737</v>
      </c>
      <c r="E125" s="16">
        <v>-2.7918103441596998</v>
      </c>
      <c r="F125" s="21">
        <v>6.774</v>
      </c>
      <c r="G125" s="15">
        <v>44.03</v>
      </c>
      <c r="H125" s="22">
        <v>-2.7959999999999998</v>
      </c>
      <c r="I125" s="16">
        <v>21.75507</v>
      </c>
      <c r="J125" s="16">
        <v>81.798100000000005</v>
      </c>
      <c r="K125" s="16">
        <v>8.6861778556254041</v>
      </c>
      <c r="L125" s="16">
        <v>20.3333333333333</v>
      </c>
      <c r="M125" s="16">
        <v>8</v>
      </c>
      <c r="N125" s="16">
        <v>12.3333333333333</v>
      </c>
      <c r="O125" s="16">
        <v>3.4134259999999998</v>
      </c>
      <c r="P125" s="16">
        <v>90.621390000000005</v>
      </c>
      <c r="Q125" s="16">
        <v>3.0798350000000001</v>
      </c>
      <c r="R125" s="16">
        <v>25.93712</v>
      </c>
      <c r="S125" s="16">
        <v>90.223820000000003</v>
      </c>
      <c r="T125" s="16">
        <v>35.715060000000001</v>
      </c>
      <c r="U125" s="16">
        <v>96.021870000000007</v>
      </c>
      <c r="V125" s="16"/>
      <c r="W125" s="16">
        <v>-9.7670596718262512</v>
      </c>
      <c r="X125" s="16">
        <v>15.691000000000001</v>
      </c>
      <c r="Y125" s="16">
        <v>41.602850478451067</v>
      </c>
      <c r="Z125" s="16">
        <v>52.517360521973991</v>
      </c>
      <c r="AA125" s="16">
        <v>16.967219458653176</v>
      </c>
      <c r="AB125" s="16">
        <v>21.041</v>
      </c>
      <c r="AC125" s="16">
        <f t="shared" si="1"/>
        <v>-10.914510043522924</v>
      </c>
    </row>
    <row r="126" spans="1:55" x14ac:dyDescent="0.35">
      <c r="A126" s="12" t="s">
        <v>10</v>
      </c>
      <c r="B126" s="14">
        <v>6</v>
      </c>
      <c r="C126" s="13">
        <v>2009</v>
      </c>
      <c r="D126" s="16">
        <v>9.7875871972803452E-2</v>
      </c>
      <c r="E126" s="16">
        <v>-2.5917934602189803</v>
      </c>
      <c r="F126" s="21">
        <v>1.4650000000000001</v>
      </c>
      <c r="G126" s="15">
        <v>52.268999999999998</v>
      </c>
      <c r="H126" s="22">
        <v>-3.5680000000000001</v>
      </c>
      <c r="I126" s="16">
        <v>24.809100000000001</v>
      </c>
      <c r="J126" s="16">
        <v>80.076999999999998</v>
      </c>
      <c r="K126" s="16">
        <v>19.930464210548706</v>
      </c>
      <c r="L126" s="16">
        <v>19.5</v>
      </c>
      <c r="M126" s="16">
        <v>8</v>
      </c>
      <c r="N126" s="16">
        <v>11.5</v>
      </c>
      <c r="O126" s="16">
        <v>2.9075600000000001</v>
      </c>
      <c r="P126" s="16">
        <v>88.876720000000006</v>
      </c>
      <c r="Q126" s="16">
        <v>1.450815</v>
      </c>
      <c r="R126" s="16">
        <v>11.406779999999999</v>
      </c>
      <c r="S126" s="16">
        <v>90.063670000000002</v>
      </c>
      <c r="T126" s="16">
        <v>35.775649999999999</v>
      </c>
      <c r="U126" s="16">
        <v>96.254059999999996</v>
      </c>
      <c r="V126" s="16"/>
      <c r="W126" s="16">
        <v>-7.1747497411416008</v>
      </c>
      <c r="X126" s="16">
        <v>15.555</v>
      </c>
      <c r="Y126" s="16">
        <v>37.24574830291234</v>
      </c>
      <c r="Z126" s="16">
        <v>44.76286929890275</v>
      </c>
      <c r="AA126" s="16">
        <v>18.073013065712445</v>
      </c>
      <c r="AB126" s="16">
        <v>22.77</v>
      </c>
      <c r="AC126" s="16">
        <f t="shared" si="1"/>
        <v>-7.5171209959904104</v>
      </c>
    </row>
    <row r="127" spans="1:55" x14ac:dyDescent="0.35">
      <c r="A127" s="12" t="s">
        <v>10</v>
      </c>
      <c r="B127" s="14">
        <v>6</v>
      </c>
      <c r="C127" s="13">
        <v>2010</v>
      </c>
      <c r="D127" s="16">
        <v>2.620229520553778</v>
      </c>
      <c r="E127" s="16">
        <v>-0.28615137629459753</v>
      </c>
      <c r="F127" s="21">
        <v>6.1210000000000004</v>
      </c>
      <c r="G127" s="15">
        <v>52.037999999999997</v>
      </c>
      <c r="H127" s="22">
        <v>-3.1989999999999998</v>
      </c>
      <c r="I127" s="16">
        <v>21.735610000000001</v>
      </c>
      <c r="J127" s="16">
        <v>85.355099999999993</v>
      </c>
      <c r="K127" s="16">
        <v>-4.3673617298686258</v>
      </c>
      <c r="L127" s="16">
        <v>17</v>
      </c>
      <c r="M127" s="16">
        <v>8</v>
      </c>
      <c r="N127" s="16">
        <v>9</v>
      </c>
      <c r="O127" s="16">
        <v>3.2664870000000001</v>
      </c>
      <c r="P127" s="16">
        <v>93.882649999999998</v>
      </c>
      <c r="Q127" s="16">
        <v>2.380423</v>
      </c>
      <c r="R127" s="16">
        <v>17.760020000000001</v>
      </c>
      <c r="S127" s="16">
        <v>90.834479999999999</v>
      </c>
      <c r="T127" s="16">
        <v>35.290349999999997</v>
      </c>
      <c r="U127" s="16">
        <v>97.491200000000006</v>
      </c>
      <c r="V127" s="16"/>
      <c r="W127" s="16">
        <v>-10.054044763835737</v>
      </c>
      <c r="X127" s="16">
        <v>15.641</v>
      </c>
      <c r="Y127" s="16">
        <v>45.739348112711603</v>
      </c>
      <c r="Z127" s="16">
        <v>47.681397020749166</v>
      </c>
      <c r="AA127" s="16">
        <v>18.016713372321462</v>
      </c>
      <c r="AB127" s="16">
        <v>21.887</v>
      </c>
      <c r="AC127" s="16">
        <f t="shared" si="1"/>
        <v>-1.9420489080375631</v>
      </c>
    </row>
    <row r="128" spans="1:55" x14ac:dyDescent="0.35">
      <c r="A128" s="12" t="s">
        <v>10</v>
      </c>
      <c r="B128" s="14">
        <v>6</v>
      </c>
      <c r="C128" s="13">
        <v>2011</v>
      </c>
      <c r="D128" s="16">
        <v>4.1727832830441827</v>
      </c>
      <c r="E128" s="16">
        <v>1.0753694468868389</v>
      </c>
      <c r="F128" s="21">
        <v>4.867</v>
      </c>
      <c r="G128" s="15">
        <v>52.23</v>
      </c>
      <c r="H128" s="22">
        <v>-3.2</v>
      </c>
      <c r="I128" s="16">
        <v>17.66527</v>
      </c>
      <c r="J128" s="16">
        <v>89.305400000000006</v>
      </c>
      <c r="K128" s="16">
        <v>-0.46599403467414663</v>
      </c>
      <c r="L128" s="16">
        <v>17</v>
      </c>
      <c r="M128" s="16">
        <v>8</v>
      </c>
      <c r="N128" s="16">
        <v>9</v>
      </c>
      <c r="O128" s="16">
        <v>3.0570759999999999</v>
      </c>
      <c r="P128" s="16">
        <v>99.329189999999997</v>
      </c>
      <c r="Q128" s="16">
        <v>2.0319889999999998</v>
      </c>
      <c r="R128" s="16">
        <v>13.75043</v>
      </c>
      <c r="S128" s="16">
        <v>89.860820000000004</v>
      </c>
      <c r="T128" s="16">
        <v>33.31662</v>
      </c>
      <c r="U128" s="16">
        <v>96.639920000000004</v>
      </c>
      <c r="V128" s="16"/>
      <c r="W128" s="16">
        <v>-13.546128855022676</v>
      </c>
      <c r="X128" s="16">
        <v>15.941000000000001</v>
      </c>
      <c r="Y128" s="16">
        <v>50.182809699787398</v>
      </c>
      <c r="Z128" s="16">
        <v>48.302519904370641</v>
      </c>
      <c r="AA128" s="16">
        <v>18.0045184138976</v>
      </c>
      <c r="AB128" s="16">
        <v>21.411000000000001</v>
      </c>
      <c r="AC128" s="16">
        <f t="shared" si="1"/>
        <v>1.8802897954167577</v>
      </c>
    </row>
    <row r="129" spans="1:29" x14ac:dyDescent="0.35">
      <c r="A129" s="12" t="s">
        <v>10</v>
      </c>
      <c r="B129" s="14">
        <v>6</v>
      </c>
      <c r="C129" s="13">
        <v>2012</v>
      </c>
      <c r="D129" s="16">
        <v>4.4700131823369276</v>
      </c>
      <c r="E129" s="16">
        <v>1.2560224305014032</v>
      </c>
      <c r="F129" s="21">
        <v>3.17</v>
      </c>
      <c r="G129" s="15">
        <v>51.472999999999999</v>
      </c>
      <c r="H129" s="22">
        <v>-1.8440000000000001</v>
      </c>
      <c r="I129" s="16">
        <v>18.329350000000002</v>
      </c>
      <c r="J129" s="16">
        <v>98.847499999999997</v>
      </c>
      <c r="K129" s="16">
        <v>16.469090593045205</v>
      </c>
      <c r="L129" s="16">
        <v>17</v>
      </c>
      <c r="M129" s="16">
        <v>4.0180999999999996</v>
      </c>
      <c r="N129" s="16">
        <v>12.9819</v>
      </c>
      <c r="O129" s="16">
        <v>3.3398889999999999</v>
      </c>
      <c r="P129" s="16">
        <v>107.8137</v>
      </c>
      <c r="Q129" s="16">
        <v>1.1679120000000001</v>
      </c>
      <c r="R129" s="16">
        <v>7.5895429999999999</v>
      </c>
      <c r="S129" s="16">
        <v>91.63897</v>
      </c>
      <c r="T129" s="16">
        <v>37.948540000000001</v>
      </c>
      <c r="U129" s="16">
        <v>98.56635</v>
      </c>
      <c r="V129" s="16">
        <v>26.421923295375571</v>
      </c>
      <c r="W129" s="16">
        <v>-7.0917268812285466</v>
      </c>
      <c r="X129" s="16">
        <v>16.132000000000001</v>
      </c>
      <c r="Y129" s="16">
        <v>48.261355209614301</v>
      </c>
      <c r="Z129" s="16">
        <v>62.526767533806527</v>
      </c>
      <c r="AA129" s="16">
        <v>18.621707486795724</v>
      </c>
      <c r="AB129" s="16">
        <v>21.449000000000002</v>
      </c>
      <c r="AC129" s="16">
        <f t="shared" si="1"/>
        <v>-14.265412324192226</v>
      </c>
    </row>
    <row r="130" spans="1:29" x14ac:dyDescent="0.35">
      <c r="A130" s="12" t="s">
        <v>10</v>
      </c>
      <c r="B130" s="14">
        <v>6</v>
      </c>
      <c r="C130" s="13">
        <v>2013</v>
      </c>
      <c r="D130" s="16">
        <v>4.150813186271705</v>
      </c>
      <c r="E130" s="16">
        <v>1.1777381978199628</v>
      </c>
      <c r="F130" s="21">
        <v>4.07</v>
      </c>
      <c r="G130" s="15">
        <v>53.860999999999997</v>
      </c>
      <c r="H130" s="22">
        <v>-3.5009999999999999</v>
      </c>
      <c r="I130" s="16">
        <v>19.669651166666672</v>
      </c>
      <c r="J130" s="16">
        <v>106.306</v>
      </c>
      <c r="K130" s="16">
        <v>11.974614812965077</v>
      </c>
      <c r="L130" s="16">
        <v>17</v>
      </c>
      <c r="M130" s="16">
        <v>3.34043668163</v>
      </c>
      <c r="N130" s="16">
        <v>13.659563318370001</v>
      </c>
      <c r="O130" s="16">
        <v>3.3461669999999999</v>
      </c>
      <c r="P130" s="16">
        <v>116.7647</v>
      </c>
      <c r="Q130" s="16">
        <v>1.552273</v>
      </c>
      <c r="R130" s="16">
        <v>10.07972</v>
      </c>
      <c r="S130" s="16">
        <v>91.003749999999997</v>
      </c>
      <c r="T130" s="16">
        <v>41.917160000000003</v>
      </c>
      <c r="U130" s="16">
        <v>98.177210000000002</v>
      </c>
      <c r="V130" s="16">
        <v>23.608376904575756</v>
      </c>
      <c r="W130" s="16">
        <v>-6.103286827061507</v>
      </c>
      <c r="X130" s="16">
        <v>16.385999999999999</v>
      </c>
      <c r="Y130" s="16">
        <v>45.548599212242152</v>
      </c>
      <c r="Z130" s="16">
        <v>56.850224970926568</v>
      </c>
      <c r="AA130" s="16">
        <v>18.122603739689623</v>
      </c>
      <c r="AB130" s="16">
        <v>21.353999999999999</v>
      </c>
      <c r="AC130" s="16">
        <f t="shared" si="1"/>
        <v>-11.301625758684416</v>
      </c>
    </row>
    <row r="131" spans="1:29" x14ac:dyDescent="0.35">
      <c r="A131" s="12" t="s">
        <v>10</v>
      </c>
      <c r="B131" s="14">
        <v>6</v>
      </c>
      <c r="C131" s="13">
        <v>2014</v>
      </c>
      <c r="D131" s="16">
        <v>4.2748232713028358</v>
      </c>
      <c r="E131" s="16">
        <v>1.5557422684303219</v>
      </c>
      <c r="F131" s="21">
        <v>0.19</v>
      </c>
      <c r="G131" s="15">
        <v>57.542999999999999</v>
      </c>
      <c r="H131" s="22">
        <v>-3.2469999999999999</v>
      </c>
      <c r="I131" s="16">
        <v>21.009952333333342</v>
      </c>
      <c r="J131" s="16">
        <v>98.770899999999997</v>
      </c>
      <c r="K131" s="16">
        <v>32.767950816338946</v>
      </c>
      <c r="L131" s="16">
        <v>17</v>
      </c>
      <c r="M131" s="16">
        <v>4.4691666666666698</v>
      </c>
      <c r="N131" s="16">
        <v>12.53083333333333</v>
      </c>
      <c r="O131" s="16">
        <v>2.8399190000000001</v>
      </c>
      <c r="P131" s="16">
        <v>104.9956</v>
      </c>
      <c r="Q131" s="16">
        <v>1.021712</v>
      </c>
      <c r="R131" s="16">
        <v>6.935136</v>
      </c>
      <c r="S131" s="16">
        <v>94.034710000000004</v>
      </c>
      <c r="T131" s="16">
        <v>42.625639999999997</v>
      </c>
      <c r="U131" s="16">
        <v>101.4016</v>
      </c>
      <c r="V131" s="16">
        <v>20.343762597055921</v>
      </c>
      <c r="W131" s="16">
        <v>-5.2778330937361684</v>
      </c>
      <c r="X131" s="16">
        <v>16.378</v>
      </c>
      <c r="Y131" s="16">
        <v>37.389200721942792</v>
      </c>
      <c r="Z131" s="16">
        <v>54.221170641661232</v>
      </c>
      <c r="AA131" s="16">
        <v>18.083856415994966</v>
      </c>
      <c r="AB131" s="16">
        <v>20.629000000000001</v>
      </c>
      <c r="AC131" s="16">
        <f t="shared" ref="AC131:AC194" si="3">Y131-Z131</f>
        <v>-16.831969919718439</v>
      </c>
    </row>
    <row r="132" spans="1:29" x14ac:dyDescent="0.35">
      <c r="A132" s="12" t="s">
        <v>10</v>
      </c>
      <c r="B132" s="14">
        <v>6</v>
      </c>
      <c r="C132" s="13">
        <v>2015</v>
      </c>
      <c r="D132" s="16">
        <v>5.376339236949363</v>
      </c>
      <c r="E132" s="16">
        <v>2.6246907599230695</v>
      </c>
      <c r="F132" s="21">
        <v>1.327</v>
      </c>
      <c r="G132" s="15">
        <v>62.298999999999999</v>
      </c>
      <c r="H132" s="22">
        <v>-3.62</v>
      </c>
      <c r="I132" s="16">
        <v>22.350253500000012</v>
      </c>
      <c r="J132" s="16">
        <v>96.211074999999994</v>
      </c>
      <c r="K132" s="16">
        <v>22.891296400070722</v>
      </c>
      <c r="L132" s="16">
        <v>17</v>
      </c>
      <c r="M132" s="16">
        <v>4.6565961363760602</v>
      </c>
      <c r="N132" s="16">
        <v>12.343403863623941</v>
      </c>
      <c r="O132" s="16">
        <v>2.288154</v>
      </c>
      <c r="P132" s="16">
        <v>103.7718</v>
      </c>
      <c r="Q132" s="16">
        <v>0.91094600000000003</v>
      </c>
      <c r="R132" s="16">
        <v>7.1146459999999996</v>
      </c>
      <c r="S132" s="16">
        <v>98.943619999999996</v>
      </c>
      <c r="T132" s="16">
        <v>44.29092</v>
      </c>
      <c r="U132" s="16">
        <v>106.8569</v>
      </c>
      <c r="V132" s="16">
        <v>17.666147772836887</v>
      </c>
      <c r="W132" s="16">
        <v>-3.4727601405366535</v>
      </c>
      <c r="X132" s="16">
        <v>16.356000000000002</v>
      </c>
      <c r="Y132" s="16">
        <v>30.195144755334869</v>
      </c>
      <c r="Z132" s="16">
        <v>47.151641739161704</v>
      </c>
      <c r="AA132" s="16">
        <v>17.845824034814875</v>
      </c>
      <c r="AB132" s="16">
        <v>21.873999999999999</v>
      </c>
      <c r="AC132" s="16">
        <f t="shared" si="3"/>
        <v>-16.956496983826835</v>
      </c>
    </row>
    <row r="133" spans="1:29" x14ac:dyDescent="0.35">
      <c r="A133" s="12" t="s">
        <v>10</v>
      </c>
      <c r="B133" s="14">
        <v>6</v>
      </c>
      <c r="C133" s="13">
        <v>2016</v>
      </c>
      <c r="D133" s="16">
        <v>1.2609092244830293</v>
      </c>
      <c r="E133" s="16">
        <v>-1.3798930376097474</v>
      </c>
      <c r="F133" s="21">
        <v>2.339</v>
      </c>
      <c r="G133" s="15">
        <v>61.494</v>
      </c>
      <c r="H133" s="22">
        <v>-3.669</v>
      </c>
      <c r="I133" s="16">
        <v>23.690554666666682</v>
      </c>
      <c r="J133" s="16">
        <v>93.651250000000005</v>
      </c>
      <c r="K133" s="16">
        <v>5.2063369082847766</v>
      </c>
      <c r="L133" s="16">
        <v>17</v>
      </c>
      <c r="M133" s="16">
        <v>5.3339668495270898</v>
      </c>
      <c r="N133" s="16">
        <v>11.666033150472909</v>
      </c>
      <c r="O133" s="16">
        <v>2.447819</v>
      </c>
      <c r="P133" s="16">
        <v>94.692019999999999</v>
      </c>
      <c r="Q133" s="16">
        <v>1.0589200000000001</v>
      </c>
      <c r="R133" s="16">
        <v>6.9133009999999997</v>
      </c>
      <c r="S133" s="16">
        <v>101.6326</v>
      </c>
      <c r="T133" s="16">
        <v>45.581440000000001</v>
      </c>
      <c r="U133" s="16">
        <v>109.8959</v>
      </c>
      <c r="V133" s="16">
        <v>19.016594154051248</v>
      </c>
      <c r="W133" s="16">
        <v>-3.9014249010158748</v>
      </c>
      <c r="X133" s="16">
        <v>16.632999999999999</v>
      </c>
      <c r="Y133" s="16">
        <v>33.925170641274121</v>
      </c>
      <c r="Z133" s="16">
        <v>39.228155921108069</v>
      </c>
      <c r="AA133" s="16">
        <v>17.607791653634781</v>
      </c>
      <c r="AB133" s="16">
        <v>21.774999999999999</v>
      </c>
      <c r="AC133" s="16">
        <f t="shared" si="3"/>
        <v>-5.3029852798339476</v>
      </c>
    </row>
    <row r="134" spans="1:29" x14ac:dyDescent="0.35">
      <c r="A134" s="12" t="s">
        <v>10</v>
      </c>
      <c r="B134" s="14">
        <v>6</v>
      </c>
      <c r="C134" s="13">
        <v>2017</v>
      </c>
      <c r="D134" s="16">
        <v>6.270545693865742</v>
      </c>
      <c r="E134" s="16">
        <v>3.5084155685779308</v>
      </c>
      <c r="F134" s="21">
        <v>5</v>
      </c>
      <c r="G134" s="15">
        <v>59.89</v>
      </c>
      <c r="H134" s="22">
        <v>-3.415</v>
      </c>
      <c r="I134" s="16">
        <v>25.030855833333352</v>
      </c>
      <c r="J134" s="16">
        <v>91.091425000000001</v>
      </c>
      <c r="K134" s="16">
        <v>15.175538651733895</v>
      </c>
      <c r="L134" s="16">
        <v>17</v>
      </c>
      <c r="M134" s="16">
        <v>5.6692020570742701</v>
      </c>
      <c r="N134" s="16">
        <v>11.330797942925731</v>
      </c>
      <c r="O134" s="16">
        <v>2.6129159999999998</v>
      </c>
      <c r="P134" s="16">
        <v>96.966539999999995</v>
      </c>
      <c r="Q134" s="16">
        <v>1.571169</v>
      </c>
      <c r="R134" s="16">
        <v>10.49339</v>
      </c>
      <c r="S134" s="16">
        <v>105.5446</v>
      </c>
      <c r="T134" s="16">
        <v>42.050710000000002</v>
      </c>
      <c r="U134" s="16">
        <v>114.19110000000001</v>
      </c>
      <c r="V134" s="16">
        <v>19.676497250703548</v>
      </c>
      <c r="W134" s="16">
        <v>-4.4644119124838859</v>
      </c>
      <c r="X134" s="16">
        <v>16.512</v>
      </c>
      <c r="Y134" s="16">
        <v>34.505663353970924</v>
      </c>
      <c r="Z134" s="16">
        <v>44.309284449502272</v>
      </c>
      <c r="AA134" s="16">
        <v>17.932644088854865</v>
      </c>
      <c r="AB134" s="16">
        <v>24.768999999999998</v>
      </c>
      <c r="AC134" s="16">
        <f t="shared" si="3"/>
        <v>-9.8036210955313479</v>
      </c>
    </row>
    <row r="135" spans="1:29" x14ac:dyDescent="0.35">
      <c r="A135" s="12" t="s">
        <v>10</v>
      </c>
      <c r="B135" s="14">
        <v>6</v>
      </c>
      <c r="C135" s="13">
        <v>2018</v>
      </c>
      <c r="D135" s="16">
        <v>4.772173638901549</v>
      </c>
      <c r="E135" s="16">
        <v>2.0564753419184001</v>
      </c>
      <c r="F135" s="21">
        <v>4</v>
      </c>
      <c r="G135" s="15">
        <v>60.658000000000001</v>
      </c>
      <c r="H135" s="22">
        <v>-3.242</v>
      </c>
      <c r="I135" s="16">
        <v>26.371157000000021</v>
      </c>
      <c r="J135" s="16">
        <v>88.531599999999997</v>
      </c>
      <c r="K135" s="16">
        <v>13.749213246719901</v>
      </c>
      <c r="L135" s="16">
        <v>17.454545454545439</v>
      </c>
      <c r="M135" s="16">
        <v>3.9014184135677796</v>
      </c>
      <c r="N135" s="16">
        <v>13.55312704097766</v>
      </c>
      <c r="O135" s="16">
        <v>2.7867980000000001</v>
      </c>
      <c r="P135" s="16">
        <v>75.107889999999998</v>
      </c>
      <c r="Q135" s="16">
        <v>1.7417560000000001</v>
      </c>
      <c r="R135" s="16">
        <v>11.541370000000001</v>
      </c>
      <c r="S135" s="16">
        <v>104.1506</v>
      </c>
      <c r="T135" s="16">
        <v>48.390929999999997</v>
      </c>
      <c r="U135" s="16">
        <v>115.301</v>
      </c>
      <c r="V135" s="16">
        <v>17.858509984591606</v>
      </c>
      <c r="W135" s="16">
        <v>-3.7690312029837028</v>
      </c>
      <c r="X135" s="16">
        <v>16.667000000000002</v>
      </c>
      <c r="Y135" s="16">
        <v>36.586250401293746</v>
      </c>
      <c r="Z135" s="16">
        <v>52.560479092221058</v>
      </c>
      <c r="AA135" s="16">
        <v>18.406048111477521</v>
      </c>
      <c r="AB135" s="16">
        <v>23.905000000000001</v>
      </c>
      <c r="AC135" s="16">
        <f t="shared" si="3"/>
        <v>-15.974228690927312</v>
      </c>
    </row>
    <row r="136" spans="1:29" x14ac:dyDescent="0.35">
      <c r="A136" s="12" t="s">
        <v>10</v>
      </c>
      <c r="B136" s="14">
        <v>6</v>
      </c>
      <c r="C136" s="13">
        <v>2019</v>
      </c>
      <c r="D136" s="16">
        <v>5.296637357367544</v>
      </c>
      <c r="E136" s="16">
        <v>2.5791747666851279</v>
      </c>
      <c r="F136" s="21">
        <v>3.5</v>
      </c>
      <c r="G136" s="15">
        <v>59.744</v>
      </c>
      <c r="H136" s="22">
        <v>-3.0070000000000001</v>
      </c>
      <c r="I136" s="16">
        <v>27.711458166666691</v>
      </c>
      <c r="J136" s="16">
        <v>85.971774999999994</v>
      </c>
      <c r="K136" s="16">
        <v>12.702091879952301</v>
      </c>
      <c r="L136" s="16">
        <v>17.166666666666654</v>
      </c>
      <c r="M136" s="16">
        <v>3.4915602549245577</v>
      </c>
      <c r="N136" s="16">
        <v>13.675106411742096</v>
      </c>
      <c r="O136" s="16">
        <v>2.8393030000000001</v>
      </c>
      <c r="P136" s="16">
        <v>74.082790000000003</v>
      </c>
      <c r="Q136" s="16">
        <v>1.2786169999999999</v>
      </c>
      <c r="R136" s="16">
        <v>8.6823580000000007</v>
      </c>
      <c r="S136" s="16">
        <v>108.28919999999999</v>
      </c>
      <c r="T136" s="16">
        <v>53.512549999999997</v>
      </c>
      <c r="U136" s="16">
        <v>120.81189999999999</v>
      </c>
      <c r="V136" s="16">
        <v>16.794685791457887</v>
      </c>
      <c r="W136" s="16">
        <v>-4.9769895883349307</v>
      </c>
      <c r="X136" s="16">
        <v>16.858000000000001</v>
      </c>
      <c r="Y136" s="16">
        <v>41.579819555127834</v>
      </c>
      <c r="Z136" s="16">
        <v>54.604664089089503</v>
      </c>
      <c r="AA136" s="16">
        <v>19.407438079467614</v>
      </c>
      <c r="AB136" s="16">
        <v>22.759</v>
      </c>
      <c r="AC136" s="16">
        <f t="shared" si="3"/>
        <v>-13.024844533961669</v>
      </c>
    </row>
    <row r="137" spans="1:29" x14ac:dyDescent="0.35">
      <c r="A137" s="12" t="s">
        <v>10</v>
      </c>
      <c r="B137" s="14">
        <v>6</v>
      </c>
      <c r="C137" s="13">
        <v>2020</v>
      </c>
      <c r="D137" s="16">
        <v>-0.93851615052420811</v>
      </c>
      <c r="E137" s="16">
        <v>-3.4654779767144106</v>
      </c>
      <c r="F137" s="21">
        <v>3.25</v>
      </c>
      <c r="G137" s="15">
        <v>58.905000000000001</v>
      </c>
      <c r="H137" s="22">
        <v>-2.9790000000000001</v>
      </c>
      <c r="I137" s="16">
        <v>29.051759333333361</v>
      </c>
      <c r="J137" s="16">
        <v>83.41194999999999</v>
      </c>
      <c r="K137" s="16">
        <v>11.654970513184701</v>
      </c>
      <c r="L137" s="16">
        <v>16.878787878787868</v>
      </c>
      <c r="M137" s="16">
        <v>3.0817020962813357</v>
      </c>
      <c r="N137" s="16">
        <v>13.797085782506532</v>
      </c>
      <c r="O137" s="16">
        <v>2.4065805</v>
      </c>
      <c r="P137" s="16">
        <v>67.475470000000001</v>
      </c>
      <c r="Q137" s="16">
        <v>0.37535600000000002</v>
      </c>
      <c r="R137" s="16">
        <v>2.711147</v>
      </c>
      <c r="S137" s="16">
        <v>142.1062</v>
      </c>
      <c r="T137" s="16">
        <v>54.192390000000003</v>
      </c>
      <c r="U137" s="16">
        <v>163.74359999999999</v>
      </c>
      <c r="V137" s="16">
        <v>15.730861598324166</v>
      </c>
      <c r="W137" s="16">
        <v>-8.7894714411673149</v>
      </c>
      <c r="X137" s="16">
        <v>17.039000000000001</v>
      </c>
      <c r="Y137" s="16">
        <v>40.661852976367804</v>
      </c>
      <c r="Z137" s="16">
        <v>53.994073473571532</v>
      </c>
      <c r="AA137" s="16">
        <v>20.706233464179256</v>
      </c>
      <c r="AB137" s="16">
        <v>22.731999999999999</v>
      </c>
      <c r="AC137" s="16">
        <f t="shared" si="3"/>
        <v>-13.332220497203728</v>
      </c>
    </row>
    <row r="138" spans="1:29" x14ac:dyDescent="0.35">
      <c r="A138" s="12" t="s">
        <v>10</v>
      </c>
      <c r="B138" s="14">
        <v>6</v>
      </c>
      <c r="C138" s="13">
        <v>2021</v>
      </c>
      <c r="D138" s="16">
        <v>2.4453682726191346</v>
      </c>
      <c r="E138" s="16">
        <v>-0.13786784222891413</v>
      </c>
      <c r="F138" s="21">
        <v>3.125</v>
      </c>
      <c r="G138" s="15">
        <v>58.213000000000001</v>
      </c>
      <c r="H138" s="22">
        <v>-2.9609999999999999</v>
      </c>
      <c r="I138" s="16">
        <v>30.392060500000031</v>
      </c>
      <c r="J138" s="16">
        <v>80.852125000000001</v>
      </c>
      <c r="K138" s="16">
        <v>10.607849146417101</v>
      </c>
      <c r="L138" s="16">
        <v>16.590909090909083</v>
      </c>
      <c r="M138" s="16">
        <v>2.6718439376381138</v>
      </c>
      <c r="N138" s="16">
        <v>13.919065153270967</v>
      </c>
      <c r="O138" s="16">
        <v>1.9738580000000001</v>
      </c>
      <c r="P138" s="16">
        <v>61.989600000000003</v>
      </c>
      <c r="Q138" s="16">
        <v>0.96673960000000003</v>
      </c>
      <c r="R138" s="16">
        <v>8.4336140000000004</v>
      </c>
      <c r="S138" s="16">
        <v>143.48490000000001</v>
      </c>
      <c r="T138" s="16">
        <v>56.788249999999991</v>
      </c>
      <c r="U138" s="16">
        <v>164.64709999999999</v>
      </c>
      <c r="V138" s="16">
        <v>14.667037405190445</v>
      </c>
      <c r="W138" s="16">
        <v>-13.031987176244114</v>
      </c>
      <c r="X138" s="16">
        <v>17.193000000000001</v>
      </c>
      <c r="Y138" s="16">
        <v>39.452453553910573</v>
      </c>
      <c r="Z138" s="16">
        <v>60.940567872387085</v>
      </c>
      <c r="AA138" s="16">
        <v>18.264394630822022</v>
      </c>
      <c r="AB138" s="16">
        <v>22.731999999999999</v>
      </c>
      <c r="AC138" s="16">
        <f t="shared" si="3"/>
        <v>-21.488114318476512</v>
      </c>
    </row>
    <row r="139" spans="1:29" x14ac:dyDescent="0.35">
      <c r="A139" s="12" t="s">
        <v>10</v>
      </c>
      <c r="B139" s="14">
        <v>6</v>
      </c>
      <c r="C139" s="13">
        <v>2022</v>
      </c>
      <c r="D139" s="16">
        <v>5.1999999944744957</v>
      </c>
      <c r="E139" s="16">
        <v>2.5086604878995331</v>
      </c>
      <c r="F139" s="21">
        <v>3.0630000000000002</v>
      </c>
      <c r="G139" s="15">
        <v>57.506</v>
      </c>
      <c r="H139" s="22">
        <v>-2.94</v>
      </c>
      <c r="I139" s="16">
        <v>31.732361666666701</v>
      </c>
      <c r="J139" s="16">
        <v>78.292299999999997</v>
      </c>
      <c r="K139" s="16">
        <v>9.56072777964952</v>
      </c>
      <c r="L139" s="16">
        <v>16.303030303030297</v>
      </c>
      <c r="M139" s="16">
        <v>2.2619857789948918</v>
      </c>
      <c r="N139" s="16">
        <v>14.041044524035405</v>
      </c>
      <c r="O139" s="16">
        <v>1.5411355000000002</v>
      </c>
      <c r="P139" s="16">
        <v>56.503730000000004</v>
      </c>
      <c r="Q139" s="16">
        <v>1.5581232</v>
      </c>
      <c r="R139" s="16">
        <v>14.156081</v>
      </c>
      <c r="S139" s="16">
        <v>144.86360000000002</v>
      </c>
      <c r="T139" s="16">
        <v>59.384109999999986</v>
      </c>
      <c r="U139" s="16">
        <v>37.15</v>
      </c>
      <c r="V139" s="16"/>
      <c r="W139" s="16">
        <v>-11.477158563194683</v>
      </c>
      <c r="X139" s="16">
        <v>17.373999999999999</v>
      </c>
      <c r="Y139" s="16">
        <v>46.467692116657155</v>
      </c>
      <c r="Z139" s="16">
        <v>77.704156456185373</v>
      </c>
      <c r="AA139" s="16">
        <v>19.019962909295572</v>
      </c>
      <c r="AB139" s="16">
        <v>22.731999999999999</v>
      </c>
      <c r="AC139" s="16">
        <f t="shared" si="3"/>
        <v>-31.236464339528219</v>
      </c>
    </row>
    <row r="140" spans="1:29" x14ac:dyDescent="0.35">
      <c r="A140" s="12" t="s">
        <v>11</v>
      </c>
      <c r="B140" s="12">
        <v>7</v>
      </c>
      <c r="C140" s="13">
        <v>2000</v>
      </c>
      <c r="D140" s="16">
        <v>4.2000000006782585</v>
      </c>
      <c r="E140" s="16">
        <v>3.201510448586248</v>
      </c>
      <c r="F140" s="15">
        <v>6.8239999999999998</v>
      </c>
      <c r="G140" s="15">
        <v>42.21</v>
      </c>
      <c r="H140" s="22">
        <v>-1.5389999999999999</v>
      </c>
      <c r="I140" s="16">
        <v>5.0844240000000003</v>
      </c>
      <c r="J140" s="16">
        <v>60.506028618279316</v>
      </c>
      <c r="K140" s="16">
        <v>4.8705823865365732</v>
      </c>
      <c r="L140" s="16">
        <v>14.5</v>
      </c>
      <c r="M140" s="16">
        <v>2.8521276203516699</v>
      </c>
      <c r="N140" s="16">
        <v>14.163023894799842</v>
      </c>
      <c r="O140" s="16">
        <v>3.762807</v>
      </c>
      <c r="P140" s="16">
        <v>134.18610000000001</v>
      </c>
      <c r="Q140" s="16">
        <v>1.5912299999999999</v>
      </c>
      <c r="R140" s="16">
        <v>9.4561869999999999</v>
      </c>
      <c r="S140" s="16">
        <v>45.091059999999999</v>
      </c>
      <c r="T140" s="16">
        <v>6.8719210000000004</v>
      </c>
      <c r="U140" s="16">
        <v>47.364260000000002</v>
      </c>
      <c r="V140" s="16"/>
      <c r="W140" s="16">
        <v>-0.12557046568473809</v>
      </c>
      <c r="X140" s="16">
        <v>7.5685000000000002</v>
      </c>
      <c r="Y140" s="16">
        <v>24.404303310691862</v>
      </c>
      <c r="Z140" s="16">
        <v>21.816418424715796</v>
      </c>
      <c r="AA140" s="16">
        <v>20.97606324641621</v>
      </c>
      <c r="AB140" s="16">
        <v>23.664000000000001</v>
      </c>
      <c r="AC140" s="16">
        <f t="shared" si="3"/>
        <v>2.5878848859760666</v>
      </c>
    </row>
    <row r="141" spans="1:29" x14ac:dyDescent="0.35">
      <c r="A141" s="12" t="s">
        <v>11</v>
      </c>
      <c r="B141" s="12">
        <v>7</v>
      </c>
      <c r="C141" s="13">
        <v>2001</v>
      </c>
      <c r="D141" s="16">
        <v>2.7000000001910394</v>
      </c>
      <c r="E141" s="16">
        <v>1.7944427571368067</v>
      </c>
      <c r="F141" s="15">
        <v>4.6680000000000001</v>
      </c>
      <c r="G141" s="15">
        <v>42.402000000000001</v>
      </c>
      <c r="H141" s="22">
        <v>-1.1319999999999999</v>
      </c>
      <c r="I141" s="16">
        <v>5.1218019999999997</v>
      </c>
      <c r="J141" s="16">
        <v>66.784934678380466</v>
      </c>
      <c r="K141" s="16">
        <v>5.5383414333936134</v>
      </c>
      <c r="L141" s="16">
        <v>13.7708333333333</v>
      </c>
      <c r="M141" s="16">
        <v>8.99</v>
      </c>
      <c r="N141" s="16">
        <v>4.7808333333333</v>
      </c>
      <c r="O141" s="16">
        <v>4.1980519999999997</v>
      </c>
      <c r="P141" s="16">
        <v>140.0692</v>
      </c>
      <c r="Q141" s="16">
        <v>0.57788620000000002</v>
      </c>
      <c r="R141" s="16">
        <v>10.456187</v>
      </c>
      <c r="S141" s="16">
        <v>47.679989999999997</v>
      </c>
      <c r="T141" s="16">
        <v>9.6213920000000002</v>
      </c>
      <c r="U141" s="16">
        <v>41.017980000000001</v>
      </c>
      <c r="V141" s="16">
        <v>3.7795757134455772</v>
      </c>
      <c r="W141" s="16">
        <v>0.25300107989765386</v>
      </c>
      <c r="X141" s="16">
        <v>12.1265</v>
      </c>
      <c r="Y141" s="16">
        <v>26.356660634568779</v>
      </c>
      <c r="Z141" s="16">
        <v>22.814284551260254</v>
      </c>
      <c r="AA141" s="16">
        <v>21.700591426429465</v>
      </c>
      <c r="AB141" s="16">
        <v>24.079000000000001</v>
      </c>
      <c r="AC141" s="16">
        <f t="shared" si="3"/>
        <v>3.5423760833085254</v>
      </c>
    </row>
    <row r="142" spans="1:29" x14ac:dyDescent="0.35">
      <c r="A142" s="12" t="s">
        <v>11</v>
      </c>
      <c r="B142" s="12">
        <v>7</v>
      </c>
      <c r="C142" s="13">
        <v>2002</v>
      </c>
      <c r="D142" s="16">
        <v>3.7003744040666788</v>
      </c>
      <c r="E142" s="16">
        <v>2.7608779863138579</v>
      </c>
      <c r="F142" s="15">
        <v>12.441000000000001</v>
      </c>
      <c r="G142" s="15">
        <v>35.546999999999997</v>
      </c>
      <c r="H142" s="22">
        <v>-1.071</v>
      </c>
      <c r="I142" s="16">
        <v>5.6258749999999997</v>
      </c>
      <c r="J142" s="16">
        <v>50.124844442116981</v>
      </c>
      <c r="K142" s="16">
        <v>2.8541855157597866</v>
      </c>
      <c r="L142" s="16">
        <v>15.75</v>
      </c>
      <c r="M142" s="16">
        <v>10.7741666666667</v>
      </c>
      <c r="N142" s="16">
        <v>4.9758333333333002</v>
      </c>
      <c r="O142" s="16">
        <v>4.6332969999999998</v>
      </c>
      <c r="P142" s="16">
        <v>114.4246</v>
      </c>
      <c r="Q142" s="16">
        <v>0.4354576</v>
      </c>
      <c r="R142" s="16">
        <v>11.456187</v>
      </c>
      <c r="S142" s="16">
        <v>43.805970000000002</v>
      </c>
      <c r="T142" s="16">
        <v>12.370863</v>
      </c>
      <c r="U142" s="16">
        <v>36.683570000000003</v>
      </c>
      <c r="V142" s="16">
        <v>9.6534526188427705</v>
      </c>
      <c r="W142" s="16">
        <v>0.78193743997303067</v>
      </c>
      <c r="X142" s="16">
        <v>8.64</v>
      </c>
      <c r="Y142" s="16">
        <v>28.431167217680215</v>
      </c>
      <c r="Z142" s="16">
        <v>25.034334411756632</v>
      </c>
      <c r="AA142" s="16">
        <v>20.824892771235536</v>
      </c>
      <c r="AB142" s="16">
        <v>23.759</v>
      </c>
      <c r="AC142" s="16">
        <f t="shared" si="3"/>
        <v>3.3968328059235837</v>
      </c>
    </row>
    <row r="143" spans="1:29" x14ac:dyDescent="0.35">
      <c r="A143" s="12" t="s">
        <v>11</v>
      </c>
      <c r="B143" s="12">
        <v>7</v>
      </c>
      <c r="C143" s="13">
        <v>2003</v>
      </c>
      <c r="D143" s="16">
        <v>2.94907546754213</v>
      </c>
      <c r="E143" s="16">
        <v>2.0019937133630776</v>
      </c>
      <c r="F143" s="15">
        <v>0.20899999999999999</v>
      </c>
      <c r="G143" s="15">
        <v>35.427999999999997</v>
      </c>
      <c r="H143" s="22">
        <v>-1.7849999999999999</v>
      </c>
      <c r="I143" s="16">
        <v>6.3385899999999999</v>
      </c>
      <c r="J143" s="16">
        <v>54.059020017842464</v>
      </c>
      <c r="K143" s="16">
        <v>8.04784838936569</v>
      </c>
      <c r="L143" s="16">
        <v>14.9583333333333</v>
      </c>
      <c r="M143" s="16">
        <v>9.7608333333333306</v>
      </c>
      <c r="N143" s="16">
        <v>5.1974999999999696</v>
      </c>
      <c r="O143" s="16">
        <v>5.0685419999999999</v>
      </c>
      <c r="P143" s="16">
        <v>117.751</v>
      </c>
      <c r="Q143" s="16">
        <v>1.4488014</v>
      </c>
      <c r="R143" s="16">
        <v>12.456187</v>
      </c>
      <c r="S143" s="16">
        <v>45.909550000000003</v>
      </c>
      <c r="T143" s="16">
        <v>15.120334000000001</v>
      </c>
      <c r="U143" s="16">
        <v>36.618490000000001</v>
      </c>
      <c r="V143" s="16">
        <v>3.7401732613209795</v>
      </c>
      <c r="W143" s="16">
        <v>-0.78245000950683241</v>
      </c>
      <c r="X143" s="16">
        <v>6.64</v>
      </c>
      <c r="Y143" s="16">
        <v>23.915273361403433</v>
      </c>
      <c r="Z143" s="16">
        <v>21.808589207575519</v>
      </c>
      <c r="AA143" s="16">
        <v>20.492767087035379</v>
      </c>
      <c r="AB143" s="16">
        <v>23.641999999999999</v>
      </c>
      <c r="AC143" s="16">
        <f t="shared" si="3"/>
        <v>2.1066841538279135</v>
      </c>
    </row>
    <row r="144" spans="1:29" x14ac:dyDescent="0.35">
      <c r="A144" s="12" t="s">
        <v>11</v>
      </c>
      <c r="B144" s="12">
        <v>7</v>
      </c>
      <c r="C144" s="13">
        <v>2004</v>
      </c>
      <c r="D144" s="16">
        <v>4.5545599072177367</v>
      </c>
      <c r="E144" s="16">
        <v>3.5812302110621346</v>
      </c>
      <c r="F144" s="15">
        <v>3.5419999999999998</v>
      </c>
      <c r="G144" s="15">
        <v>34.393000000000001</v>
      </c>
      <c r="H144" s="22">
        <v>-1.1679999999999999</v>
      </c>
      <c r="I144" s="16">
        <v>6.2801179999999999</v>
      </c>
      <c r="J144" s="16">
        <v>55.854572160387292</v>
      </c>
      <c r="K144" s="16">
        <v>4.9503843588622081</v>
      </c>
      <c r="L144" s="16">
        <v>11.2916666666667</v>
      </c>
      <c r="M144" s="16">
        <v>6.5541666666666698</v>
      </c>
      <c r="N144" s="16">
        <v>4.73750000000003</v>
      </c>
      <c r="O144" s="16">
        <v>5.503787</v>
      </c>
      <c r="P144" s="16">
        <v>124.5179</v>
      </c>
      <c r="Q144" s="16">
        <v>2.4621452000000001</v>
      </c>
      <c r="R144" s="16">
        <v>26.456187</v>
      </c>
      <c r="S144" s="16">
        <v>44.856780000000001</v>
      </c>
      <c r="T144" s="16">
        <v>12.313639999999999</v>
      </c>
      <c r="U144" s="16">
        <v>34.853879999999997</v>
      </c>
      <c r="V144" s="16">
        <v>3.6683460264447443</v>
      </c>
      <c r="W144" s="16">
        <v>-2.5072610129664463</v>
      </c>
      <c r="X144" s="16">
        <v>5.63</v>
      </c>
      <c r="Y144" s="16">
        <v>22.757518785665376</v>
      </c>
      <c r="Z144" s="16">
        <v>22.886056438338677</v>
      </c>
      <c r="AA144" s="16">
        <v>21.698596070751329</v>
      </c>
      <c r="AB144" s="16">
        <v>24.242999999999999</v>
      </c>
      <c r="AC144" s="16">
        <f t="shared" si="3"/>
        <v>-0.12853765267330175</v>
      </c>
    </row>
    <row r="145" spans="1:29" x14ac:dyDescent="0.35">
      <c r="A145" s="12" t="s">
        <v>11</v>
      </c>
      <c r="B145" s="12">
        <v>7</v>
      </c>
      <c r="C145" s="13">
        <v>2005</v>
      </c>
      <c r="D145" s="16">
        <v>5.2770519729546663</v>
      </c>
      <c r="E145" s="16">
        <v>4.2867715305723095</v>
      </c>
      <c r="F145" s="15">
        <v>3.6219999999999999</v>
      </c>
      <c r="G145" s="15">
        <v>33.212000000000003</v>
      </c>
      <c r="H145" s="22">
        <v>-0.48299999999999998</v>
      </c>
      <c r="I145" s="16">
        <v>5.954491</v>
      </c>
      <c r="J145" s="16">
        <v>58.807952200394823</v>
      </c>
      <c r="K145" s="16">
        <v>4.7614892029654472</v>
      </c>
      <c r="L145" s="16">
        <v>10.625</v>
      </c>
      <c r="M145" s="16">
        <v>6.0433333333333303</v>
      </c>
      <c r="N145" s="16">
        <v>4.5816666666666697</v>
      </c>
      <c r="O145" s="16">
        <v>3.0661520000000002</v>
      </c>
      <c r="P145" s="16">
        <v>121.2197</v>
      </c>
      <c r="Q145" s="16">
        <v>1.4979039999999999</v>
      </c>
      <c r="R145" s="16">
        <v>24.456187</v>
      </c>
      <c r="S145" s="16">
        <v>48.513440000000003</v>
      </c>
      <c r="T145" s="16">
        <v>19.191510000000001</v>
      </c>
      <c r="U145" s="16">
        <v>37.749760000000002</v>
      </c>
      <c r="V145" s="16">
        <v>3.2781538951567484</v>
      </c>
      <c r="W145" s="16">
        <v>-2.7747760444032767</v>
      </c>
      <c r="X145" s="16">
        <v>6.3250000000000002</v>
      </c>
      <c r="Y145" s="16">
        <v>23.599764491543613</v>
      </c>
      <c r="Z145" s="16">
        <v>23.828016905489292</v>
      </c>
      <c r="AA145" s="16">
        <v>22.972111180598304</v>
      </c>
      <c r="AB145" s="16">
        <v>27.69</v>
      </c>
      <c r="AC145" s="16">
        <f t="shared" si="3"/>
        <v>-0.22825241394567897</v>
      </c>
    </row>
    <row r="146" spans="1:29" x14ac:dyDescent="0.35">
      <c r="A146" s="12" t="s">
        <v>11</v>
      </c>
      <c r="B146" s="12">
        <v>7</v>
      </c>
      <c r="C146" s="13">
        <v>2006</v>
      </c>
      <c r="D146" s="16">
        <v>5.6038064589588856</v>
      </c>
      <c r="E146" s="16">
        <v>4.5911021010921047</v>
      </c>
      <c r="F146" s="15">
        <v>5.8250000000000002</v>
      </c>
      <c r="G146" s="15">
        <v>31.355</v>
      </c>
      <c r="H146" s="22">
        <v>0.67700000000000005</v>
      </c>
      <c r="I146" s="16">
        <v>5.7119600000000004</v>
      </c>
      <c r="J146" s="16">
        <v>65.817072886880752</v>
      </c>
      <c r="K146" s="16">
        <v>4.8103022796051951</v>
      </c>
      <c r="L146" s="16">
        <v>11.1666666666667</v>
      </c>
      <c r="M146" s="16">
        <v>7.1416666666666702</v>
      </c>
      <c r="N146" s="16">
        <v>4.0250000000000297</v>
      </c>
      <c r="O146" s="16">
        <v>3.430844</v>
      </c>
      <c r="P146" s="16">
        <v>124.94119999999999</v>
      </c>
      <c r="Q146" s="16">
        <v>1.628746</v>
      </c>
      <c r="R146" s="16">
        <v>28.042059999999999</v>
      </c>
      <c r="S146" s="16">
        <v>52.678620000000002</v>
      </c>
      <c r="T146" s="16">
        <v>19.594670000000001</v>
      </c>
      <c r="U146" s="16">
        <v>38.782510000000002</v>
      </c>
      <c r="V146" s="16">
        <v>3.0171530797632822</v>
      </c>
      <c r="W146" s="16">
        <v>-4.0001243744014694</v>
      </c>
      <c r="X146" s="16">
        <v>6.97</v>
      </c>
      <c r="Y146" s="16">
        <v>26.098249881711972</v>
      </c>
      <c r="Z146" s="16">
        <v>27.669891392402558</v>
      </c>
      <c r="AA146" s="16">
        <v>24.378085380834289</v>
      </c>
      <c r="AB146" s="16">
        <v>28.27</v>
      </c>
      <c r="AC146" s="16">
        <f t="shared" si="3"/>
        <v>-1.5716415106905863</v>
      </c>
    </row>
    <row r="147" spans="1:29" x14ac:dyDescent="0.35">
      <c r="A147" s="12" t="s">
        <v>11</v>
      </c>
      <c r="B147" s="12">
        <v>7</v>
      </c>
      <c r="C147" s="13">
        <v>2007</v>
      </c>
      <c r="D147" s="16">
        <v>5.3604740539416156</v>
      </c>
      <c r="E147" s="16">
        <v>4.2976452104840064</v>
      </c>
      <c r="F147" s="15">
        <v>8.8070000000000004</v>
      </c>
      <c r="G147" s="15">
        <v>27.061</v>
      </c>
      <c r="H147" s="22">
        <v>1.2729999999999999</v>
      </c>
      <c r="I147" s="16">
        <v>5.5943630000000004</v>
      </c>
      <c r="J147" s="16">
        <v>70.381882026659099</v>
      </c>
      <c r="K147" s="16">
        <v>4.5460456685602475</v>
      </c>
      <c r="L147" s="16">
        <v>13.1666666666667</v>
      </c>
      <c r="M147" s="16">
        <v>9.1549999999999994</v>
      </c>
      <c r="N147" s="16">
        <v>4.0116666666667005</v>
      </c>
      <c r="O147" s="16">
        <v>3.4929570000000001</v>
      </c>
      <c r="P147" s="16">
        <v>126.1763</v>
      </c>
      <c r="Q147" s="16">
        <v>1.50532</v>
      </c>
      <c r="R147" s="16">
        <v>25.787510000000001</v>
      </c>
      <c r="S147" s="16">
        <v>55.780709999999999</v>
      </c>
      <c r="T147" s="16">
        <v>18.195930000000001</v>
      </c>
      <c r="U147" s="16">
        <v>40.77366</v>
      </c>
      <c r="V147" s="16">
        <v>3.3798780439925977</v>
      </c>
      <c r="W147" s="16">
        <v>-4.8618916070692633</v>
      </c>
      <c r="X147" s="16">
        <v>6.81</v>
      </c>
      <c r="Y147" s="16">
        <v>27.958964394701962</v>
      </c>
      <c r="Z147" s="16">
        <v>29.166174743044991</v>
      </c>
      <c r="AA147" s="16">
        <v>24.807237282433604</v>
      </c>
      <c r="AB147" s="16">
        <v>28.448</v>
      </c>
      <c r="AC147" s="16">
        <f t="shared" si="3"/>
        <v>-1.207210348343029</v>
      </c>
    </row>
    <row r="148" spans="1:29" x14ac:dyDescent="0.35">
      <c r="A148" s="12" t="s">
        <v>11</v>
      </c>
      <c r="B148" s="12">
        <v>7</v>
      </c>
      <c r="C148" s="13">
        <v>2008</v>
      </c>
      <c r="D148" s="16">
        <v>3.1910438863287993</v>
      </c>
      <c r="E148" s="16">
        <v>2.0284046877170852</v>
      </c>
      <c r="F148" s="15">
        <v>10.066000000000001</v>
      </c>
      <c r="G148" s="15">
        <v>26.506</v>
      </c>
      <c r="H148" s="22">
        <v>-0.67400000000000004</v>
      </c>
      <c r="I148" s="16">
        <v>7.906981</v>
      </c>
      <c r="J148" s="16">
        <v>69.564120158854863</v>
      </c>
      <c r="K148" s="16">
        <v>6.7451515029169169</v>
      </c>
      <c r="L148" s="16">
        <v>15.125</v>
      </c>
      <c r="M148" s="16">
        <v>11.612500000000001</v>
      </c>
      <c r="N148" s="16">
        <v>3.5124999999999993</v>
      </c>
      <c r="O148" s="16">
        <v>2.7128030000000001</v>
      </c>
      <c r="P148" s="16">
        <v>120.09439999999999</v>
      </c>
      <c r="Q148" s="16">
        <v>1.1574800000000001</v>
      </c>
      <c r="R148" s="16">
        <v>20.114789999999999</v>
      </c>
      <c r="S148" s="16">
        <v>57.924590000000002</v>
      </c>
      <c r="T148" s="16">
        <v>18.19744</v>
      </c>
      <c r="U148" s="16">
        <v>41.876530000000002</v>
      </c>
      <c r="V148" s="16">
        <v>3.3462018072196766</v>
      </c>
      <c r="W148" s="16">
        <v>-5.1861812939347969</v>
      </c>
      <c r="X148" s="16">
        <v>9.3049999999999997</v>
      </c>
      <c r="Y148" s="16">
        <v>32.254673671067735</v>
      </c>
      <c r="Z148" s="16">
        <v>33.719850128555578</v>
      </c>
      <c r="AA148" s="16">
        <v>24.32280987007298</v>
      </c>
      <c r="AB148" s="16">
        <v>27.997</v>
      </c>
      <c r="AC148" s="16">
        <f t="shared" si="3"/>
        <v>-1.4651764574878428</v>
      </c>
    </row>
    <row r="149" spans="1:29" x14ac:dyDescent="0.35">
      <c r="A149" s="12" t="s">
        <v>11</v>
      </c>
      <c r="B149" s="12">
        <v>7</v>
      </c>
      <c r="C149" s="13">
        <v>2009</v>
      </c>
      <c r="D149" s="16">
        <v>-1.5380891352558308</v>
      </c>
      <c r="E149" s="16">
        <v>-2.702155971723414</v>
      </c>
      <c r="F149" s="15">
        <v>6.3079999999999998</v>
      </c>
      <c r="G149" s="15">
        <v>30.077999999999999</v>
      </c>
      <c r="H149" s="22">
        <v>-5.27</v>
      </c>
      <c r="I149" s="16">
        <v>9.3342019999999994</v>
      </c>
      <c r="J149" s="16">
        <v>66.946505312107021</v>
      </c>
      <c r="K149" s="16">
        <v>2.8025089767470512</v>
      </c>
      <c r="L149" s="16">
        <v>11.7083333333333</v>
      </c>
      <c r="M149" s="16">
        <v>8.5366666666666706</v>
      </c>
      <c r="N149" s="16">
        <v>3.1716666666666296</v>
      </c>
      <c r="O149" s="16">
        <v>3.0817429999999999</v>
      </c>
      <c r="P149" s="16">
        <v>123.6086</v>
      </c>
      <c r="Q149" s="16">
        <v>0.91649199999999997</v>
      </c>
      <c r="R149" s="16">
        <v>15.199450000000001</v>
      </c>
      <c r="S149" s="16">
        <v>54.160069999999997</v>
      </c>
      <c r="T149" s="16">
        <v>16.920210000000001</v>
      </c>
      <c r="U149" s="16">
        <v>38.534759999999999</v>
      </c>
      <c r="V149" s="16">
        <v>3.5022985638246737</v>
      </c>
      <c r="W149" s="16">
        <v>-2.3845819181482368</v>
      </c>
      <c r="X149" s="16">
        <v>7.38</v>
      </c>
      <c r="Y149" s="16">
        <v>24.982746488323667</v>
      </c>
      <c r="Z149" s="16">
        <v>24.604788839556434</v>
      </c>
      <c r="AA149" s="16">
        <v>21.894874300616181</v>
      </c>
      <c r="AB149" s="16">
        <v>26.44</v>
      </c>
      <c r="AC149" s="16">
        <f t="shared" si="3"/>
        <v>0.37795764876723226</v>
      </c>
    </row>
    <row r="150" spans="1:29" x14ac:dyDescent="0.35">
      <c r="A150" s="12" t="s">
        <v>11</v>
      </c>
      <c r="B150" s="12">
        <v>7</v>
      </c>
      <c r="C150" s="13">
        <v>2010</v>
      </c>
      <c r="D150" s="16">
        <v>3.0397328812795621</v>
      </c>
      <c r="E150" s="16">
        <v>1.8177356973662313</v>
      </c>
      <c r="F150" s="15">
        <v>3.4729999999999999</v>
      </c>
      <c r="G150" s="15">
        <v>34.674999999999997</v>
      </c>
      <c r="H150" s="22">
        <v>-4.9000000000000004</v>
      </c>
      <c r="I150" s="16">
        <v>9.8354890000000008</v>
      </c>
      <c r="J150" s="16">
        <v>63.269571981524244</v>
      </c>
      <c r="K150" s="16">
        <v>3.4909597897967219</v>
      </c>
      <c r="L150" s="16">
        <v>9.8333333333333304</v>
      </c>
      <c r="M150" s="16">
        <v>6.4649999999999999</v>
      </c>
      <c r="N150" s="16">
        <v>3.3683333333333305</v>
      </c>
      <c r="O150" s="16">
        <v>3.0696539999999999</v>
      </c>
      <c r="P150" s="16">
        <v>119.06399999999999</v>
      </c>
      <c r="Q150" s="16">
        <v>0.96099069999999998</v>
      </c>
      <c r="R150" s="16">
        <v>14.5161</v>
      </c>
      <c r="S150" s="16">
        <v>53.13908</v>
      </c>
      <c r="T150" s="16">
        <v>17.382079999999998</v>
      </c>
      <c r="U150" s="16">
        <v>36.204880000000003</v>
      </c>
      <c r="V150" s="16">
        <v>3.934741271878786</v>
      </c>
      <c r="W150" s="16">
        <v>-1.2990180492632473</v>
      </c>
      <c r="X150" s="16">
        <v>6.6315999999999997</v>
      </c>
      <c r="Y150" s="16">
        <v>25.783417626722148</v>
      </c>
      <c r="Z150" s="16">
        <v>24.622669535877773</v>
      </c>
      <c r="AA150" s="16">
        <v>22.520603877613237</v>
      </c>
      <c r="AB150" s="16">
        <v>26.545999999999999</v>
      </c>
      <c r="AC150" s="16">
        <f t="shared" si="3"/>
        <v>1.1607480908443755</v>
      </c>
    </row>
    <row r="151" spans="1:29" x14ac:dyDescent="0.35">
      <c r="A151" s="12" t="s">
        <v>11</v>
      </c>
      <c r="B151" s="12">
        <v>7</v>
      </c>
      <c r="C151" s="13">
        <v>2011</v>
      </c>
      <c r="D151" s="16">
        <v>3.1685562785881842</v>
      </c>
      <c r="E151" s="16">
        <v>1.8733182263089247</v>
      </c>
      <c r="F151" s="15">
        <v>6.1539999999999999</v>
      </c>
      <c r="G151" s="15">
        <v>38.226999999999997</v>
      </c>
      <c r="H151" s="22">
        <v>-3.9390000000000001</v>
      </c>
      <c r="I151" s="16">
        <v>10.65208</v>
      </c>
      <c r="J151" s="16">
        <v>61.422487592347942</v>
      </c>
      <c r="K151" s="16">
        <v>3.2793012231763545</v>
      </c>
      <c r="L151" s="16">
        <v>9</v>
      </c>
      <c r="M151" s="16">
        <v>5.6725000000000003</v>
      </c>
      <c r="N151" s="16">
        <v>3.3274999999999997</v>
      </c>
      <c r="O151" s="16">
        <v>2.7635360000000002</v>
      </c>
      <c r="P151" s="16">
        <v>110.03619999999999</v>
      </c>
      <c r="Q151" s="16">
        <v>1.096983</v>
      </c>
      <c r="R151" s="16">
        <v>15.82902</v>
      </c>
      <c r="S151" s="16">
        <v>55.820349999999998</v>
      </c>
      <c r="T151" s="16">
        <v>21.845320000000001</v>
      </c>
      <c r="U151" s="16">
        <v>37.281970000000001</v>
      </c>
      <c r="V151" s="16">
        <v>3.9810976351211704</v>
      </c>
      <c r="W151" s="16">
        <v>-2.0196763219394587</v>
      </c>
      <c r="X151" s="16">
        <v>8.1428999999999991</v>
      </c>
      <c r="Y151" s="16">
        <v>27.698148470375223</v>
      </c>
      <c r="Z151" s="16">
        <v>26.938201965521891</v>
      </c>
      <c r="AA151" s="16">
        <v>22.8746700116825</v>
      </c>
      <c r="AB151" s="16">
        <v>26.937999999999999</v>
      </c>
      <c r="AC151" s="16">
        <f t="shared" si="3"/>
        <v>0.75994650485333182</v>
      </c>
    </row>
    <row r="152" spans="1:29" x14ac:dyDescent="0.35">
      <c r="A152" s="12" t="s">
        <v>11</v>
      </c>
      <c r="B152" s="12">
        <v>7</v>
      </c>
      <c r="C152" s="13">
        <v>2012</v>
      </c>
      <c r="D152" s="16">
        <v>2.396232384657452</v>
      </c>
      <c r="E152" s="16">
        <v>1.0442291704685829</v>
      </c>
      <c r="F152" s="15">
        <v>5.665</v>
      </c>
      <c r="G152" s="15">
        <v>41</v>
      </c>
      <c r="H152" s="22">
        <v>-4.3929999999999998</v>
      </c>
      <c r="I152" s="16">
        <v>10.64086</v>
      </c>
      <c r="J152" s="16">
        <v>62.61474107512862</v>
      </c>
      <c r="K152" s="16">
        <v>3.8828729981093715</v>
      </c>
      <c r="L152" s="16">
        <v>8.75</v>
      </c>
      <c r="M152" s="16">
        <v>5.4366666666666701</v>
      </c>
      <c r="N152" s="16">
        <v>3.3133333333333299</v>
      </c>
      <c r="O152" s="16">
        <v>3.0470730000000001</v>
      </c>
      <c r="P152" s="16">
        <v>113.3408</v>
      </c>
      <c r="Q152" s="16">
        <v>1.175578</v>
      </c>
      <c r="R152" s="16">
        <v>16.028549999999999</v>
      </c>
      <c r="S152" s="16">
        <v>55.244520000000001</v>
      </c>
      <c r="T152" s="16">
        <v>21.17765</v>
      </c>
      <c r="U152" s="16">
        <v>37.282800000000002</v>
      </c>
      <c r="V152" s="16">
        <v>3.5268307442792994</v>
      </c>
      <c r="W152" s="16">
        <v>-4.6837364340384831</v>
      </c>
      <c r="X152" s="16">
        <v>8.5011500000000009</v>
      </c>
      <c r="Y152" s="16">
        <v>27.139149193767881</v>
      </c>
      <c r="Z152" s="16">
        <v>28.443467999566586</v>
      </c>
      <c r="AA152" s="16">
        <v>23.345765989473602</v>
      </c>
      <c r="AB152" s="16">
        <v>26.975000000000001</v>
      </c>
      <c r="AC152" s="16">
        <f t="shared" si="3"/>
        <v>-1.3043188057987045</v>
      </c>
    </row>
    <row r="153" spans="1:29" x14ac:dyDescent="0.35">
      <c r="A153" s="12" t="s">
        <v>11</v>
      </c>
      <c r="B153" s="12">
        <v>7</v>
      </c>
      <c r="C153" s="13">
        <v>2013</v>
      </c>
      <c r="D153" s="16">
        <v>2.4854680082658831</v>
      </c>
      <c r="E153" s="16">
        <v>1.0994617350306441</v>
      </c>
      <c r="F153" s="15">
        <v>5.3620000000000001</v>
      </c>
      <c r="G153" s="15">
        <v>44.101999999999997</v>
      </c>
      <c r="H153" s="22">
        <v>-4.2679999999999998</v>
      </c>
      <c r="I153" s="16">
        <v>9.8037869999999998</v>
      </c>
      <c r="J153" s="16">
        <v>61.556352770530154</v>
      </c>
      <c r="K153" s="16">
        <v>2.5092454971563325</v>
      </c>
      <c r="L153" s="16">
        <v>8.5</v>
      </c>
      <c r="M153" s="16">
        <v>5.1524999999999999</v>
      </c>
      <c r="N153" s="16">
        <v>3.3475000000000001</v>
      </c>
      <c r="O153" s="16">
        <v>3.0731709999999999</v>
      </c>
      <c r="P153" s="16">
        <v>113.3442</v>
      </c>
      <c r="Q153" s="16">
        <v>0.85633700000000001</v>
      </c>
      <c r="R153" s="16">
        <v>11.409090000000001</v>
      </c>
      <c r="S153" s="16">
        <v>54.309280000000001</v>
      </c>
      <c r="T153" s="16">
        <v>22.01371</v>
      </c>
      <c r="U153" s="16">
        <v>37.351469999999999</v>
      </c>
      <c r="V153" s="16">
        <v>3.54018854420615</v>
      </c>
      <c r="W153" s="16">
        <v>-5.3383727475691156</v>
      </c>
      <c r="X153" s="16">
        <v>10.489850000000001</v>
      </c>
      <c r="Y153" s="16">
        <v>28.379280320360955</v>
      </c>
      <c r="Z153" s="16">
        <v>30.495747309690064</v>
      </c>
      <c r="AA153" s="16">
        <v>23.83139136323803</v>
      </c>
      <c r="AB153" s="16">
        <v>27.327999999999999</v>
      </c>
      <c r="AC153" s="16">
        <f t="shared" si="3"/>
        <v>-2.1164669893291084</v>
      </c>
    </row>
    <row r="154" spans="1:29" x14ac:dyDescent="0.35">
      <c r="A154" s="12" t="s">
        <v>11</v>
      </c>
      <c r="B154" s="12">
        <v>7</v>
      </c>
      <c r="C154" s="13">
        <v>2014</v>
      </c>
      <c r="D154" s="16">
        <v>1.4138264522379274</v>
      </c>
      <c r="E154" s="16">
        <v>-0.17222060932843419</v>
      </c>
      <c r="F154" s="15">
        <v>5.3250000000000002</v>
      </c>
      <c r="G154" s="15">
        <v>46.956000000000003</v>
      </c>
      <c r="H154" s="22">
        <v>-4.16</v>
      </c>
      <c r="I154" s="16">
        <v>10.90734</v>
      </c>
      <c r="J154" s="16">
        <v>61.730534127561612</v>
      </c>
      <c r="K154" s="16">
        <v>3.5670276301250867</v>
      </c>
      <c r="L154" s="16">
        <v>9.125</v>
      </c>
      <c r="M154" s="16">
        <v>5.8008333333333297</v>
      </c>
      <c r="N154" s="16">
        <v>3.3241666666666703</v>
      </c>
      <c r="O154" s="16">
        <v>3.3251919999999999</v>
      </c>
      <c r="P154" s="16">
        <v>111.96129999999999</v>
      </c>
      <c r="Q154" s="16">
        <v>0.90291080000000001</v>
      </c>
      <c r="R154" s="16">
        <v>12.338430000000001</v>
      </c>
      <c r="S154" s="16">
        <v>55.135599999999997</v>
      </c>
      <c r="T154" s="16">
        <v>22.09582</v>
      </c>
      <c r="U154" s="16">
        <v>38.43638</v>
      </c>
      <c r="V154" s="16">
        <v>3.4530616995053136</v>
      </c>
      <c r="W154" s="16">
        <v>-4.8124325948848341</v>
      </c>
      <c r="X154" s="16">
        <v>11.58095</v>
      </c>
      <c r="Y154" s="16">
        <v>29.000619303347129</v>
      </c>
      <c r="Z154" s="16">
        <v>30.498954751712127</v>
      </c>
      <c r="AA154" s="16">
        <v>24.431934217603381</v>
      </c>
      <c r="AB154" s="16">
        <v>27.641999999999999</v>
      </c>
      <c r="AC154" s="16">
        <f t="shared" si="3"/>
        <v>-1.4983354483649975</v>
      </c>
    </row>
    <row r="155" spans="1:29" x14ac:dyDescent="0.35">
      <c r="A155" s="12" t="s">
        <v>11</v>
      </c>
      <c r="B155" s="12">
        <v>7</v>
      </c>
      <c r="C155" s="13">
        <v>2015</v>
      </c>
      <c r="D155" s="16">
        <v>1.3218622367822945</v>
      </c>
      <c r="E155" s="16">
        <v>-0.75792811406113003</v>
      </c>
      <c r="F155" s="15">
        <v>5.2809999999999997</v>
      </c>
      <c r="G155" s="15">
        <v>49.334000000000003</v>
      </c>
      <c r="H155" s="22">
        <v>-4.5810000000000004</v>
      </c>
      <c r="I155" s="16">
        <v>10.89705</v>
      </c>
      <c r="J155" s="16">
        <v>62.5138381250989</v>
      </c>
      <c r="K155" s="16">
        <v>3.667742832971566</v>
      </c>
      <c r="L155" s="16">
        <v>9.4166666666666696</v>
      </c>
      <c r="M155" s="16">
        <v>6.1533333333333298</v>
      </c>
      <c r="N155" s="16">
        <v>3.2633333333333399</v>
      </c>
      <c r="O155" s="16">
        <v>2.888509</v>
      </c>
      <c r="P155" s="16">
        <v>110.0896</v>
      </c>
      <c r="Q155" s="16">
        <v>1.087388</v>
      </c>
      <c r="R155" s="16">
        <v>15.07137</v>
      </c>
      <c r="S155" s="16">
        <v>56.784579999999998</v>
      </c>
      <c r="T155" s="16">
        <v>23.76024</v>
      </c>
      <c r="U155" s="16">
        <v>40.196890000000003</v>
      </c>
      <c r="V155" s="16">
        <v>3.1384728297440629</v>
      </c>
      <c r="W155" s="16">
        <v>-4.3102868864378818</v>
      </c>
      <c r="X155" s="16">
        <v>15.545</v>
      </c>
      <c r="Y155" s="16">
        <v>27.713638412482901</v>
      </c>
      <c r="Z155" s="16">
        <v>29.013037732232728</v>
      </c>
      <c r="AA155" s="16">
        <v>25.048692703114423</v>
      </c>
      <c r="AB155" s="16">
        <v>28.297999999999998</v>
      </c>
      <c r="AC155" s="16">
        <f t="shared" si="3"/>
        <v>-1.2993993197498277</v>
      </c>
    </row>
    <row r="156" spans="1:29" x14ac:dyDescent="0.35">
      <c r="A156" s="12" t="s">
        <v>11</v>
      </c>
      <c r="B156" s="12">
        <v>7</v>
      </c>
      <c r="C156" s="13">
        <v>2016</v>
      </c>
      <c r="D156" s="16">
        <v>0.66455230785811636</v>
      </c>
      <c r="E156" s="16">
        <v>-0.30917116725491667</v>
      </c>
      <c r="F156" s="15">
        <v>6.7240000000000002</v>
      </c>
      <c r="G156" s="15">
        <v>51.701999999999998</v>
      </c>
      <c r="H156" s="22">
        <v>-3.9830000000000001</v>
      </c>
      <c r="I156" s="16">
        <v>12.398210000000001</v>
      </c>
      <c r="J156" s="16">
        <v>60.997462190718366</v>
      </c>
      <c r="K156" s="16">
        <v>3.2782516784519289</v>
      </c>
      <c r="L156" s="16">
        <v>10.4583333333333</v>
      </c>
      <c r="M156" s="16">
        <v>7.1716666666666704</v>
      </c>
      <c r="N156" s="16">
        <v>3.2866666666666298</v>
      </c>
      <c r="O156" s="16">
        <v>3.4623119999999998</v>
      </c>
      <c r="P156" s="16">
        <v>111.8398</v>
      </c>
      <c r="Q156" s="16">
        <v>1.1934499999999999</v>
      </c>
      <c r="R156" s="16">
        <v>16.021719999999998</v>
      </c>
      <c r="S156" s="16">
        <v>54.540129999999998</v>
      </c>
      <c r="T156" s="16">
        <v>22.98818</v>
      </c>
      <c r="U156" s="16">
        <v>39.933399999999999</v>
      </c>
      <c r="V156" s="16">
        <v>3.4988975508153031</v>
      </c>
      <c r="W156" s="16">
        <v>-2.6336145167879756</v>
      </c>
      <c r="X156" s="16">
        <v>13.68445</v>
      </c>
      <c r="Y156" s="16">
        <v>28.156088169895494</v>
      </c>
      <c r="Z156" s="16">
        <v>27.705169334982706</v>
      </c>
      <c r="AA156" s="16">
        <v>24.82835598846961</v>
      </c>
      <c r="AB156" s="16">
        <v>28.893000000000001</v>
      </c>
      <c r="AC156" s="16">
        <f t="shared" si="3"/>
        <v>0.4509188349127875</v>
      </c>
    </row>
    <row r="157" spans="1:29" x14ac:dyDescent="0.35">
      <c r="A157" s="12" t="s">
        <v>11</v>
      </c>
      <c r="B157" s="12">
        <v>7</v>
      </c>
      <c r="C157" s="13">
        <v>2017</v>
      </c>
      <c r="D157" s="16">
        <v>1.1579469518173511</v>
      </c>
      <c r="E157" s="16">
        <v>0.76694161300305552</v>
      </c>
      <c r="F157" s="15">
        <v>5.2</v>
      </c>
      <c r="G157" s="15">
        <v>52.991999999999997</v>
      </c>
      <c r="H157" s="22">
        <v>-4.4539999999999997</v>
      </c>
      <c r="I157" s="16">
        <v>13.162000000000001</v>
      </c>
      <c r="J157" s="16">
        <v>60.084513681325888</v>
      </c>
      <c r="K157" s="16">
        <v>4.6473154854795204</v>
      </c>
      <c r="L157" s="16">
        <v>10.375</v>
      </c>
      <c r="M157" s="16">
        <v>7.24583333333333</v>
      </c>
      <c r="N157" s="16">
        <v>3.12916666666667</v>
      </c>
      <c r="O157" s="16">
        <v>3.6624910000000002</v>
      </c>
      <c r="P157" s="16">
        <v>110.46550000000001</v>
      </c>
      <c r="Q157" s="16">
        <v>1.304945</v>
      </c>
      <c r="R157" s="16">
        <v>16.281639999999999</v>
      </c>
      <c r="S157" s="16">
        <v>54.39217</v>
      </c>
      <c r="T157" s="16">
        <v>19.335899999999999</v>
      </c>
      <c r="U157" s="16">
        <v>40.304319999999997</v>
      </c>
      <c r="V157" s="16">
        <v>3.4642460538538056</v>
      </c>
      <c r="W157" s="16">
        <v>-2.3743675318864885</v>
      </c>
      <c r="X157" s="16">
        <v>12.3152709359606</v>
      </c>
      <c r="Y157" s="16">
        <v>27.3400757812216</v>
      </c>
      <c r="Z157" s="16">
        <v>26.1958560481525</v>
      </c>
      <c r="AA157" s="16">
        <v>24.769287289310022</v>
      </c>
      <c r="AB157" s="16">
        <v>29.085000000000001</v>
      </c>
      <c r="AC157" s="16">
        <f t="shared" si="3"/>
        <v>1.1442197330691002</v>
      </c>
    </row>
    <row r="158" spans="1:29" x14ac:dyDescent="0.35">
      <c r="A158" s="12" t="s">
        <v>11</v>
      </c>
      <c r="B158" s="12">
        <v>7</v>
      </c>
      <c r="C158" s="13">
        <v>2018</v>
      </c>
      <c r="D158" s="16">
        <v>1.5223293868264989</v>
      </c>
      <c r="E158" s="16">
        <v>0.28573563410515135</v>
      </c>
      <c r="F158" s="15">
        <v>5.4</v>
      </c>
      <c r="G158" s="15">
        <v>55.558999999999997</v>
      </c>
      <c r="H158" s="22">
        <v>-4.3140000000000001</v>
      </c>
      <c r="I158" s="16">
        <v>13.92834</v>
      </c>
      <c r="J158" s="16">
        <v>59.90406348820806</v>
      </c>
      <c r="K158" s="16">
        <v>6.108760060447092</v>
      </c>
      <c r="L158" s="16">
        <v>10.0833333333333</v>
      </c>
      <c r="M158" s="16">
        <v>6.9983333333333304</v>
      </c>
      <c r="N158" s="16">
        <v>3.0849999999999698</v>
      </c>
      <c r="O158" s="16">
        <v>3.185765</v>
      </c>
      <c r="P158" s="16">
        <v>110.4134</v>
      </c>
      <c r="Q158" s="16">
        <v>1.125149</v>
      </c>
      <c r="R158" s="16">
        <v>14.06024</v>
      </c>
      <c r="S158" s="16">
        <v>54.254280000000001</v>
      </c>
      <c r="T158" s="16">
        <v>19.901119999999999</v>
      </c>
      <c r="U158" s="16">
        <v>40.655050000000003</v>
      </c>
      <c r="V158" s="16">
        <v>3.330655853181594</v>
      </c>
      <c r="W158" s="16">
        <v>-3.0143009489338257</v>
      </c>
      <c r="X158" s="16">
        <v>14.3766569097088</v>
      </c>
      <c r="Y158" s="16">
        <v>27.562640211394797</v>
      </c>
      <c r="Z158" s="16">
        <v>27.065071371872623</v>
      </c>
      <c r="AA158" s="16">
        <v>24.962763090223515</v>
      </c>
      <c r="AB158" s="16">
        <v>29.393999999999998</v>
      </c>
      <c r="AC158" s="16">
        <f t="shared" si="3"/>
        <v>0.49756883952217379</v>
      </c>
    </row>
    <row r="159" spans="1:29" x14ac:dyDescent="0.35">
      <c r="A159" s="12" t="s">
        <v>11</v>
      </c>
      <c r="B159" s="12">
        <v>7</v>
      </c>
      <c r="C159" s="13">
        <v>2019</v>
      </c>
      <c r="D159" s="16">
        <v>0.30345323523808077</v>
      </c>
      <c r="E159" s="16">
        <v>-0.98717523640816296</v>
      </c>
      <c r="F159" s="15">
        <v>5.5</v>
      </c>
      <c r="G159" s="15">
        <v>57.112000000000002</v>
      </c>
      <c r="H159" s="22">
        <v>-4.2930000000000001</v>
      </c>
      <c r="I159" s="16">
        <v>14.82156</v>
      </c>
      <c r="J159" s="16">
        <v>60.345551012102028</v>
      </c>
      <c r="K159" s="16">
        <v>5.2437109301899305</v>
      </c>
      <c r="L159" s="16">
        <v>10.125</v>
      </c>
      <c r="M159" s="16">
        <v>7.0083333333333302</v>
      </c>
      <c r="N159" s="16">
        <v>3.1166666666666698</v>
      </c>
      <c r="O159" s="16">
        <v>3.3136909999999999</v>
      </c>
      <c r="P159" s="16">
        <v>111.20780000000001</v>
      </c>
      <c r="Q159" s="16">
        <v>1.1515629999999999</v>
      </c>
      <c r="R159" s="16">
        <v>14.97941</v>
      </c>
      <c r="S159" s="16">
        <v>54.263770000000001</v>
      </c>
      <c r="T159" s="16">
        <v>20.165959999999998</v>
      </c>
      <c r="U159" s="16">
        <v>41.553739999999998</v>
      </c>
      <c r="V159" s="16">
        <v>3.3860516505803138</v>
      </c>
      <c r="W159" s="16">
        <v>-2.5833076445876952</v>
      </c>
      <c r="X159" s="16">
        <v>14.025540509267399</v>
      </c>
      <c r="Y159" s="16">
        <v>27.297471284424162</v>
      </c>
      <c r="Z159" s="16">
        <v>26.75729510831588</v>
      </c>
      <c r="AA159" s="16">
        <v>24.918471562334972</v>
      </c>
      <c r="AB159" s="16">
        <v>29.643000000000001</v>
      </c>
      <c r="AC159" s="16">
        <f t="shared" si="3"/>
        <v>0.54017617610828239</v>
      </c>
    </row>
    <row r="160" spans="1:29" x14ac:dyDescent="0.35">
      <c r="A160" s="12" t="s">
        <v>11</v>
      </c>
      <c r="B160" s="12">
        <v>7</v>
      </c>
      <c r="C160" s="13">
        <v>2020</v>
      </c>
      <c r="D160" s="16">
        <v>-6.3424711492931749</v>
      </c>
      <c r="E160" s="16">
        <v>-7.4810927622304746</v>
      </c>
      <c r="F160" s="15">
        <v>5.5</v>
      </c>
      <c r="G160" s="15">
        <v>58.052999999999997</v>
      </c>
      <c r="H160" s="22">
        <v>-4.2450000000000001</v>
      </c>
      <c r="I160" s="16">
        <v>16.9375</v>
      </c>
      <c r="J160" s="16">
        <v>61.998556069825739</v>
      </c>
      <c r="K160" s="16">
        <v>1.907151254978537</v>
      </c>
      <c r="L160" s="16">
        <v>7.7083333333333304</v>
      </c>
      <c r="M160" s="16">
        <v>4.8808333333333298</v>
      </c>
      <c r="N160" s="16">
        <v>2.8275000000000006</v>
      </c>
      <c r="O160" s="16">
        <v>2.874784</v>
      </c>
      <c r="P160" s="16">
        <v>98.080380000000005</v>
      </c>
      <c r="Q160" s="16">
        <v>0.39267160000000001</v>
      </c>
      <c r="R160" s="16">
        <v>5.3380539999999996</v>
      </c>
      <c r="S160" s="16">
        <v>63.211979999999997</v>
      </c>
      <c r="T160" s="16">
        <v>23.97513</v>
      </c>
      <c r="U160" s="16">
        <v>47.639519999999997</v>
      </c>
      <c r="V160" s="16">
        <v>3.1970330552180397</v>
      </c>
      <c r="W160" s="16">
        <v>2.0104997321957798</v>
      </c>
      <c r="X160" s="16">
        <v>14.685948337770901</v>
      </c>
      <c r="Y160" s="16">
        <v>27.600302789125582</v>
      </c>
      <c r="Z160" s="16">
        <v>23.200678740558157</v>
      </c>
      <c r="AA160" s="16">
        <v>23.289412011416317</v>
      </c>
      <c r="AB160" s="16">
        <v>29.658999999999999</v>
      </c>
      <c r="AC160" s="16">
        <f t="shared" si="3"/>
        <v>4.3996240485674249</v>
      </c>
    </row>
    <row r="161" spans="1:55" x14ac:dyDescent="0.35">
      <c r="A161" s="12" t="s">
        <v>11</v>
      </c>
      <c r="B161" s="12">
        <v>7</v>
      </c>
      <c r="C161" s="13">
        <v>2021</v>
      </c>
      <c r="D161" s="16">
        <v>4.9130966839178001</v>
      </c>
      <c r="E161" s="16">
        <v>3.8703152886125451</v>
      </c>
      <c r="F161" s="15">
        <v>5.5</v>
      </c>
      <c r="G161" s="15">
        <v>58.755000000000003</v>
      </c>
      <c r="H161" s="22">
        <v>-4.0659999999999998</v>
      </c>
      <c r="I161" s="16">
        <v>19.053440000000002</v>
      </c>
      <c r="J161" s="16">
        <v>58.043046750471127</v>
      </c>
      <c r="K161" s="16">
        <v>0.77448423794791554</v>
      </c>
      <c r="L161" s="16">
        <v>7.0416666666666696</v>
      </c>
      <c r="M161" s="16">
        <v>3.8149999999999999</v>
      </c>
      <c r="N161" s="16">
        <v>3.2266666666666697</v>
      </c>
      <c r="O161" s="16">
        <v>3.05382</v>
      </c>
      <c r="P161" s="16">
        <v>95.620059999999995</v>
      </c>
      <c r="Q161" s="16">
        <v>0.96082279999999998</v>
      </c>
      <c r="R161" s="16">
        <v>13.091419999999999</v>
      </c>
      <c r="S161" s="16">
        <v>60.380760000000009</v>
      </c>
      <c r="T161" s="16">
        <v>26.317990000000002</v>
      </c>
      <c r="U161" s="16">
        <v>69.935479999999998</v>
      </c>
      <c r="V161" s="16">
        <v>3.3136900630088637</v>
      </c>
      <c r="W161" s="16">
        <v>3.7155438047997134</v>
      </c>
      <c r="X161" s="16">
        <v>15.9054073613406</v>
      </c>
      <c r="Y161" s="16">
        <v>31.193814296423366</v>
      </c>
      <c r="Z161" s="16">
        <v>25.024165384966729</v>
      </c>
      <c r="AA161" s="16">
        <v>25.915782055138976</v>
      </c>
      <c r="AB161" s="16">
        <v>29.666</v>
      </c>
      <c r="AC161" s="16">
        <f t="shared" si="3"/>
        <v>6.1696489114566369</v>
      </c>
    </row>
    <row r="162" spans="1:55" x14ac:dyDescent="0.35">
      <c r="A162" s="12" t="s">
        <v>11</v>
      </c>
      <c r="B162" s="12">
        <v>7</v>
      </c>
      <c r="C162" s="13">
        <v>2022</v>
      </c>
      <c r="D162" s="16">
        <v>2.042299352518981</v>
      </c>
      <c r="E162" s="16">
        <v>1.1876632135507919</v>
      </c>
      <c r="F162" s="15">
        <v>5.5</v>
      </c>
      <c r="G162" s="15">
        <v>59.168999999999997</v>
      </c>
      <c r="H162" s="22">
        <v>-3.839</v>
      </c>
      <c r="I162" s="16">
        <v>21.16938</v>
      </c>
      <c r="J162" s="16">
        <v>58.587090378552034</v>
      </c>
      <c r="K162" s="16">
        <v>3.5575642725693597</v>
      </c>
      <c r="L162" s="16">
        <v>8.7916666666666696</v>
      </c>
      <c r="M162" s="16">
        <v>5.06666666666667</v>
      </c>
      <c r="N162" s="16">
        <v>3.7249999999999996</v>
      </c>
      <c r="O162" s="16">
        <v>3.232856</v>
      </c>
      <c r="P162" s="16">
        <v>93.159739999999985</v>
      </c>
      <c r="Q162" s="16">
        <v>1.5289739999999998</v>
      </c>
      <c r="R162" s="16">
        <v>20.844785999999999</v>
      </c>
      <c r="S162" s="16">
        <v>57.549540000000015</v>
      </c>
      <c r="T162" s="16">
        <v>28.66085</v>
      </c>
      <c r="U162" s="16">
        <v>62.231439999999999</v>
      </c>
      <c r="V162" s="16">
        <v>3.8869573474476509</v>
      </c>
      <c r="W162" s="16">
        <v>-0.44072023114554038</v>
      </c>
      <c r="X162" s="16">
        <v>16.993537357742898</v>
      </c>
      <c r="Y162" s="16">
        <v>33.443871408628297</v>
      </c>
      <c r="Z162" s="16">
        <v>31.464978442928103</v>
      </c>
      <c r="AA162" s="35">
        <v>26.33801614723745</v>
      </c>
      <c r="AB162" s="16">
        <v>29.686</v>
      </c>
      <c r="AC162" s="16">
        <f t="shared" si="3"/>
        <v>1.9788929657001937</v>
      </c>
    </row>
    <row r="163" spans="1:55" x14ac:dyDescent="0.35">
      <c r="A163" s="12" t="s">
        <v>12</v>
      </c>
      <c r="B163" s="12">
        <v>8</v>
      </c>
      <c r="C163" s="13">
        <v>2000</v>
      </c>
      <c r="D163" s="16">
        <v>4.5207846348832135</v>
      </c>
      <c r="E163" s="16">
        <v>1.6042080286472924</v>
      </c>
      <c r="F163" s="15">
        <v>5.5289999999999999</v>
      </c>
      <c r="G163" s="15">
        <v>59.582999999999991</v>
      </c>
      <c r="H163" s="22">
        <v>-0.72699999999999998</v>
      </c>
      <c r="I163" s="16">
        <v>3.7990919999999999</v>
      </c>
      <c r="J163" s="16">
        <v>3.1128</v>
      </c>
      <c r="K163" s="16">
        <v>12.362531640678469</v>
      </c>
      <c r="L163" s="16">
        <v>21.577500000000001</v>
      </c>
      <c r="M163" s="16">
        <v>7.3866666666666703</v>
      </c>
      <c r="N163" s="16">
        <v>14.19083333333333</v>
      </c>
      <c r="O163" s="16">
        <v>7.180097</v>
      </c>
      <c r="P163" s="16">
        <v>33.151229999999998</v>
      </c>
      <c r="Q163" s="16">
        <v>1.24</v>
      </c>
      <c r="R163" s="16">
        <v>13</v>
      </c>
      <c r="S163" s="16">
        <v>9.389697</v>
      </c>
      <c r="T163" s="16">
        <v>86</v>
      </c>
      <c r="U163" s="16">
        <v>13.320539999999999</v>
      </c>
      <c r="V163" s="16">
        <v>4.4602246318864376</v>
      </c>
      <c r="W163" s="16">
        <v>-3.2020237855769276</v>
      </c>
      <c r="X163" s="16">
        <v>803.26</v>
      </c>
      <c r="Y163" s="16">
        <v>10.809087755793133</v>
      </c>
      <c r="Z163" s="16">
        <v>13.171779943389831</v>
      </c>
      <c r="AA163" s="16">
        <v>7.0947879922989685</v>
      </c>
      <c r="AB163" s="16">
        <v>11.544</v>
      </c>
      <c r="AC163" s="16">
        <f t="shared" si="3"/>
        <v>-2.3626921875966982</v>
      </c>
    </row>
    <row r="164" spans="1:55" s="10" customFormat="1" x14ac:dyDescent="0.35">
      <c r="A164" s="12" t="s">
        <v>12</v>
      </c>
      <c r="B164" s="12">
        <v>8</v>
      </c>
      <c r="C164" s="13">
        <v>2001</v>
      </c>
      <c r="D164" s="16">
        <v>6.0708082884781618</v>
      </c>
      <c r="E164" s="16">
        <v>3.2300921054772402</v>
      </c>
      <c r="F164" s="15">
        <v>4.8540000000000001</v>
      </c>
      <c r="G164" s="15">
        <v>50.238999999999997</v>
      </c>
      <c r="H164" s="22">
        <v>-0.41</v>
      </c>
      <c r="I164" s="16">
        <v>3.5834920000000001</v>
      </c>
      <c r="J164" s="16">
        <v>4.1142899999999996</v>
      </c>
      <c r="K164" s="16">
        <v>14.541002020400692</v>
      </c>
      <c r="L164" s="16">
        <v>20.0572614143728</v>
      </c>
      <c r="M164" s="16">
        <v>4.8108277369727102</v>
      </c>
      <c r="N164" s="16">
        <v>15.246433677400089</v>
      </c>
      <c r="O164" s="16">
        <v>7.3527849999999999</v>
      </c>
      <c r="P164" s="16">
        <v>30.849820000000001</v>
      </c>
      <c r="Q164" s="16">
        <v>1.22</v>
      </c>
      <c r="R164" s="16">
        <v>14</v>
      </c>
      <c r="S164" s="16">
        <v>12.194800000000001</v>
      </c>
      <c r="T164" s="16">
        <v>67</v>
      </c>
      <c r="U164" s="16">
        <v>14.03734</v>
      </c>
      <c r="V164" s="16">
        <v>20.660570816176051</v>
      </c>
      <c r="W164" s="16">
        <v>-4.1503544972071005</v>
      </c>
      <c r="X164" s="16">
        <v>916.3</v>
      </c>
      <c r="Y164" s="16">
        <v>13.832282797654226</v>
      </c>
      <c r="Z164" s="16">
        <v>14.188223669897738</v>
      </c>
      <c r="AA164" s="16">
        <v>7.2366837521449483</v>
      </c>
      <c r="AB164" s="16">
        <v>11.837999999999999</v>
      </c>
      <c r="AC164" s="16">
        <f t="shared" si="3"/>
        <v>-0.35594087224351156</v>
      </c>
      <c r="AD164" s="8"/>
      <c r="AE164" s="8"/>
      <c r="AF164" s="12"/>
      <c r="AG164" s="12"/>
      <c r="AH164" s="12"/>
      <c r="AI164" s="12"/>
      <c r="AJ164" s="12"/>
      <c r="AK164" s="7"/>
      <c r="AL164" s="7"/>
      <c r="AM164" s="7"/>
      <c r="AN164" s="7"/>
      <c r="AO164" s="7"/>
      <c r="AP164" s="7"/>
      <c r="AQ164" s="7"/>
      <c r="AR164" s="7"/>
      <c r="AS164" s="7"/>
      <c r="AT164" s="7"/>
      <c r="AU164" s="7"/>
      <c r="AV164" s="7"/>
      <c r="AW164" s="7"/>
      <c r="AX164" s="7"/>
      <c r="AY164" s="7"/>
      <c r="AZ164" s="7"/>
      <c r="BA164" s="7"/>
      <c r="BB164" s="7"/>
      <c r="BC164" s="7"/>
    </row>
    <row r="165" spans="1:55" s="10" customFormat="1" x14ac:dyDescent="0.35">
      <c r="A165" s="12" t="s">
        <v>12</v>
      </c>
      <c r="B165" s="12">
        <v>8</v>
      </c>
      <c r="C165" s="13">
        <v>2002</v>
      </c>
      <c r="D165" s="16">
        <v>7.0931949835368613</v>
      </c>
      <c r="E165" s="16">
        <v>4.3338644687595007</v>
      </c>
      <c r="F165" s="15">
        <v>4.4039999999999999</v>
      </c>
      <c r="G165" s="15">
        <v>47.034999999999997</v>
      </c>
      <c r="H165" s="22">
        <v>-0.72199999999999998</v>
      </c>
      <c r="I165" s="16">
        <v>4.4560060000000004</v>
      </c>
      <c r="J165" s="16">
        <v>5.2222600000000003</v>
      </c>
      <c r="K165" s="16">
        <v>8.5470027518424843</v>
      </c>
      <c r="L165" s="16">
        <v>16.398240756974399</v>
      </c>
      <c r="M165" s="16">
        <v>3.2890281022604202</v>
      </c>
      <c r="N165" s="16">
        <v>13.109212654713978</v>
      </c>
      <c r="O165" s="16">
        <v>7.5254729999999999</v>
      </c>
      <c r="P165" s="16">
        <v>34.455069999999999</v>
      </c>
      <c r="Q165" s="16">
        <v>1.76</v>
      </c>
      <c r="R165" s="16">
        <v>14</v>
      </c>
      <c r="S165" s="16">
        <v>13.37982</v>
      </c>
      <c r="T165" s="16">
        <v>68</v>
      </c>
      <c r="U165" s="16">
        <v>15.2538</v>
      </c>
      <c r="V165" s="16">
        <v>17.584429695591368</v>
      </c>
      <c r="W165" s="16">
        <v>-0.32373475510744942</v>
      </c>
      <c r="X165" s="16">
        <v>976.3</v>
      </c>
      <c r="Y165" s="16">
        <v>14.276731600924391</v>
      </c>
      <c r="Z165" s="16">
        <v>13.213031445441793</v>
      </c>
      <c r="AA165" s="16">
        <v>7.6708847772736455</v>
      </c>
      <c r="AB165" s="16">
        <v>12.791</v>
      </c>
      <c r="AC165" s="16">
        <f t="shared" si="3"/>
        <v>1.0637001554825982</v>
      </c>
      <c r="AD165" s="8"/>
      <c r="AE165" s="8"/>
      <c r="AF165" s="12"/>
      <c r="AG165" s="12"/>
      <c r="AH165" s="12"/>
      <c r="AI165" s="12"/>
      <c r="AJ165" s="12"/>
      <c r="AK165" s="7"/>
      <c r="AL165" s="7"/>
      <c r="AM165" s="7"/>
      <c r="AN165" s="7"/>
      <c r="AO165" s="7"/>
      <c r="AP165" s="7"/>
      <c r="AQ165" s="7"/>
      <c r="AR165" s="7"/>
      <c r="AS165" s="7"/>
      <c r="AT165" s="7"/>
      <c r="AU165" s="7"/>
      <c r="AV165" s="7"/>
      <c r="AW165" s="7"/>
      <c r="AX165" s="7"/>
      <c r="AY165" s="7"/>
      <c r="AZ165" s="7"/>
      <c r="BA165" s="7"/>
      <c r="BB165" s="7"/>
      <c r="BC165" s="7"/>
    </row>
    <row r="166" spans="1:55" s="10" customFormat="1" x14ac:dyDescent="0.35">
      <c r="A166" s="12" t="s">
        <v>12</v>
      </c>
      <c r="B166" s="12">
        <v>8</v>
      </c>
      <c r="C166" s="13">
        <v>2003</v>
      </c>
      <c r="D166" s="16">
        <v>6.6727898290831433</v>
      </c>
      <c r="E166" s="16">
        <v>3.8769866335614438</v>
      </c>
      <c r="F166" s="15">
        <v>4.5629999999999997</v>
      </c>
      <c r="G166" s="15">
        <v>44.314999999999998</v>
      </c>
      <c r="H166" s="22">
        <v>-1.7729999999999999</v>
      </c>
      <c r="I166" s="16">
        <v>3.8376600000000001</v>
      </c>
      <c r="J166" s="16">
        <v>6.1901799999999998</v>
      </c>
      <c r="K166" s="16">
        <v>5.6247485152017349</v>
      </c>
      <c r="L166" s="16">
        <v>14.516960890739901</v>
      </c>
      <c r="M166" s="16">
        <v>3.04789465378034</v>
      </c>
      <c r="N166" s="16">
        <v>11.469066236959561</v>
      </c>
      <c r="O166" s="16">
        <v>8.6162910000000004</v>
      </c>
      <c r="P166" s="16">
        <v>41.011119999999998</v>
      </c>
      <c r="Q166" s="16">
        <v>2.0499999999999998</v>
      </c>
      <c r="R166" s="16">
        <v>15</v>
      </c>
      <c r="S166" s="16">
        <v>13.903919999999999</v>
      </c>
      <c r="T166" s="16">
        <v>62</v>
      </c>
      <c r="U166" s="16">
        <v>15.326879999999999</v>
      </c>
      <c r="V166" s="16">
        <v>16.17312546324748</v>
      </c>
      <c r="W166" s="16">
        <v>-1.1442596207242317</v>
      </c>
      <c r="X166" s="16">
        <v>1063.6199999999999</v>
      </c>
      <c r="Y166" s="16">
        <v>15.087933747324819</v>
      </c>
      <c r="Z166" s="16">
        <v>15.350433771080827</v>
      </c>
      <c r="AA166" s="16">
        <v>8.1311378639100642</v>
      </c>
      <c r="AB166" s="16">
        <v>13.57</v>
      </c>
      <c r="AC166" s="16">
        <f t="shared" si="3"/>
        <v>-0.26250002375600801</v>
      </c>
      <c r="AD166" s="8"/>
      <c r="AE166" s="8"/>
      <c r="AF166" s="12"/>
      <c r="AG166" s="12"/>
      <c r="AH166" s="12"/>
      <c r="AI166" s="12"/>
      <c r="AJ166" s="12"/>
      <c r="AK166" s="7"/>
      <c r="AL166" s="7"/>
      <c r="AM166" s="7"/>
      <c r="AN166" s="7"/>
      <c r="AO166" s="7"/>
      <c r="AP166" s="7"/>
      <c r="AQ166" s="7"/>
      <c r="AR166" s="7"/>
      <c r="AS166" s="7"/>
      <c r="AT166" s="7"/>
      <c r="AU166" s="7"/>
      <c r="AV166" s="7"/>
      <c r="AW166" s="7"/>
      <c r="AX166" s="7"/>
      <c r="AY166" s="7"/>
      <c r="AZ166" s="7"/>
      <c r="BA166" s="7"/>
      <c r="BB166" s="7"/>
      <c r="BC166" s="7"/>
    </row>
    <row r="167" spans="1:55" s="10" customFormat="1" x14ac:dyDescent="0.35">
      <c r="A167" s="12" t="s">
        <v>12</v>
      </c>
      <c r="B167" s="12">
        <v>8</v>
      </c>
      <c r="C167" s="13">
        <v>2004</v>
      </c>
      <c r="D167" s="16">
        <v>7.5038146604771612</v>
      </c>
      <c r="E167" s="16">
        <v>4.6312900252142128</v>
      </c>
      <c r="F167" s="15">
        <v>4.1020000000000003</v>
      </c>
      <c r="G167" s="15">
        <v>44.603000000000002</v>
      </c>
      <c r="H167" s="22">
        <v>-2.4380000000000002</v>
      </c>
      <c r="I167" s="16">
        <v>3.706331</v>
      </c>
      <c r="J167" s="16">
        <v>7.1072300000000004</v>
      </c>
      <c r="K167" s="16">
        <v>6.7873453171296791</v>
      </c>
      <c r="L167" s="16">
        <v>14.14031946585</v>
      </c>
      <c r="M167" s="16">
        <v>4.2006661474421403</v>
      </c>
      <c r="N167" s="16">
        <v>9.9396533184078599</v>
      </c>
      <c r="O167" s="16">
        <v>7.0347749999999998</v>
      </c>
      <c r="P167" s="16">
        <v>48.799500000000002</v>
      </c>
      <c r="Q167" s="16">
        <v>2.9</v>
      </c>
      <c r="R167" s="16">
        <v>28</v>
      </c>
      <c r="S167" s="16">
        <v>13.46477</v>
      </c>
      <c r="T167" s="16">
        <v>68.429450000000003</v>
      </c>
      <c r="U167" s="16">
        <v>15.870520000000001</v>
      </c>
      <c r="V167" s="16">
        <v>18.918996945863817</v>
      </c>
      <c r="W167" s="16">
        <v>-2.89867637073093</v>
      </c>
      <c r="X167" s="16">
        <v>1042.96</v>
      </c>
      <c r="Y167" s="16">
        <v>16.040066838831322</v>
      </c>
      <c r="Z167" s="16">
        <v>17.55816485637688</v>
      </c>
      <c r="AA167" s="16">
        <v>8.6190061357446677</v>
      </c>
      <c r="AB167" s="16">
        <v>14.616</v>
      </c>
      <c r="AC167" s="16">
        <f t="shared" si="3"/>
        <v>-1.5180980175455581</v>
      </c>
      <c r="AD167" s="8"/>
      <c r="AE167" s="8"/>
      <c r="AF167" s="12"/>
      <c r="AG167" s="12"/>
      <c r="AH167" s="12"/>
      <c r="AI167" s="12"/>
      <c r="AJ167" s="12"/>
      <c r="AK167" s="7"/>
      <c r="AL167" s="7"/>
      <c r="AM167" s="7"/>
      <c r="AN167" s="7"/>
      <c r="AO167" s="7"/>
      <c r="AP167" s="7"/>
      <c r="AQ167" s="7"/>
      <c r="AR167" s="7"/>
      <c r="AS167" s="7"/>
      <c r="AT167" s="7"/>
      <c r="AU167" s="7"/>
      <c r="AV167" s="7"/>
      <c r="AW167" s="7"/>
      <c r="AX167" s="7"/>
      <c r="AY167" s="7"/>
      <c r="AZ167" s="7"/>
      <c r="BA167" s="7"/>
      <c r="BB167" s="7"/>
      <c r="BC167" s="7"/>
    </row>
    <row r="168" spans="1:55" s="10" customFormat="1" x14ac:dyDescent="0.35">
      <c r="A168" s="12" t="s">
        <v>12</v>
      </c>
      <c r="B168" s="12">
        <v>8</v>
      </c>
      <c r="C168" s="13">
        <v>2005</v>
      </c>
      <c r="D168" s="16">
        <v>7.4763192578229223</v>
      </c>
      <c r="E168" s="16">
        <v>4.5424413044961653</v>
      </c>
      <c r="F168" s="15">
        <v>4.9820000000000002</v>
      </c>
      <c r="G168" s="15">
        <v>46.755000000000003</v>
      </c>
      <c r="H168" s="22">
        <v>-3.323</v>
      </c>
      <c r="I168" s="16">
        <v>5.6097999999999999E-3</v>
      </c>
      <c r="J168" s="16">
        <v>7.4249499999999999</v>
      </c>
      <c r="K168" s="16">
        <v>8.3272560620839471</v>
      </c>
      <c r="L168" s="16">
        <v>15.2489487237996</v>
      </c>
      <c r="M168" s="16">
        <v>4.7328032466454104</v>
      </c>
      <c r="N168" s="16">
        <v>10.51614547715419</v>
      </c>
      <c r="O168" s="16">
        <v>7.7398876666666663</v>
      </c>
      <c r="P168" s="16">
        <v>45.993720000000003</v>
      </c>
      <c r="Q168" s="16">
        <v>2.9431219999999998</v>
      </c>
      <c r="R168" s="16">
        <v>37.483739999999997</v>
      </c>
      <c r="S168" s="16">
        <v>16.14256</v>
      </c>
      <c r="T168" s="16">
        <v>70.907709999999994</v>
      </c>
      <c r="U168" s="16">
        <v>19.153479999999998</v>
      </c>
      <c r="V168" s="16">
        <v>17.967446787568147</v>
      </c>
      <c r="W168" s="16">
        <v>-5.9381280317535321</v>
      </c>
      <c r="X168" s="16">
        <v>1165.51</v>
      </c>
      <c r="Y168" s="16">
        <v>16.983367056206081</v>
      </c>
      <c r="Z168" s="16">
        <v>19.975906232661462</v>
      </c>
      <c r="AA168" s="16">
        <v>9.1361465038893481</v>
      </c>
      <c r="AB168" s="16">
        <v>15.254</v>
      </c>
      <c r="AC168" s="16">
        <f t="shared" si="3"/>
        <v>-2.9925391764553808</v>
      </c>
      <c r="AD168" s="8"/>
      <c r="AE168" s="8"/>
      <c r="AF168" s="12"/>
      <c r="AG168" s="12"/>
      <c r="AH168" s="12"/>
      <c r="AI168" s="12"/>
      <c r="AJ168" s="12"/>
      <c r="AK168" s="7"/>
      <c r="AL168" s="7"/>
      <c r="AM168" s="7"/>
      <c r="AN168" s="7"/>
      <c r="AO168" s="7"/>
      <c r="AP168" s="7"/>
      <c r="AQ168" s="7"/>
      <c r="AR168" s="7"/>
      <c r="AS168" s="7"/>
      <c r="AT168" s="7"/>
      <c r="AU168" s="7"/>
      <c r="AV168" s="7"/>
      <c r="AW168" s="7"/>
      <c r="AX168" s="7"/>
      <c r="AY168" s="7"/>
      <c r="AZ168" s="7"/>
      <c r="BA168" s="7"/>
      <c r="BB168" s="7"/>
      <c r="BC168" s="7"/>
    </row>
    <row r="169" spans="1:55" s="10" customFormat="1" x14ac:dyDescent="0.35">
      <c r="A169" s="12" t="s">
        <v>12</v>
      </c>
      <c r="B169" s="12">
        <v>8</v>
      </c>
      <c r="C169" s="13">
        <v>2006</v>
      </c>
      <c r="D169" s="16">
        <v>6.5322213903017001</v>
      </c>
      <c r="E169" s="16">
        <v>3.589391561273942</v>
      </c>
      <c r="F169" s="15">
        <v>6.6589999999999998</v>
      </c>
      <c r="G169" s="15">
        <v>32.841000000000001</v>
      </c>
      <c r="H169" s="22">
        <v>-3.4340000000000002</v>
      </c>
      <c r="I169" s="16">
        <v>5.1229430000000002</v>
      </c>
      <c r="J169" s="16">
        <v>9.7900200000000002</v>
      </c>
      <c r="K169" s="16">
        <v>9.6123527089083218</v>
      </c>
      <c r="L169" s="16">
        <v>15.652097785396</v>
      </c>
      <c r="M169" s="16">
        <v>6.7265169229663204</v>
      </c>
      <c r="N169" s="16">
        <v>8.9255808624296797</v>
      </c>
      <c r="O169" s="16">
        <v>8.4450003333333328</v>
      </c>
      <c r="P169" s="16">
        <v>52.79081</v>
      </c>
      <c r="Q169" s="16">
        <v>2.9575089999999999</v>
      </c>
      <c r="R169" s="16">
        <v>33.450629999999997</v>
      </c>
      <c r="S169" s="16">
        <v>17.663350000000001</v>
      </c>
      <c r="T169" s="16">
        <v>66.609030000000004</v>
      </c>
      <c r="U169" s="16">
        <v>20.163720000000001</v>
      </c>
      <c r="V169" s="16">
        <v>15.540847549763015</v>
      </c>
      <c r="W169" s="16">
        <v>-5.9092674799569682</v>
      </c>
      <c r="X169" s="16">
        <v>1261.6400000000001</v>
      </c>
      <c r="Y169" s="16">
        <v>18.414991448066655</v>
      </c>
      <c r="Z169" s="16">
        <v>24.35317502144644</v>
      </c>
      <c r="AA169" s="16">
        <v>9.68431529412271</v>
      </c>
      <c r="AB169" s="16">
        <v>14.439</v>
      </c>
      <c r="AC169" s="16">
        <f t="shared" si="3"/>
        <v>-5.938183573379785</v>
      </c>
      <c r="AD169" s="8"/>
      <c r="AE169" s="8"/>
      <c r="AF169" s="12"/>
      <c r="AG169" s="12"/>
      <c r="AH169" s="12"/>
      <c r="AI169" s="12"/>
      <c r="AJ169" s="12"/>
      <c r="AK169" s="7"/>
      <c r="AL169" s="7"/>
      <c r="AM169" s="7"/>
      <c r="AN169" s="7"/>
      <c r="AO169" s="7"/>
      <c r="AP169" s="7"/>
      <c r="AQ169" s="7"/>
      <c r="AR169" s="7"/>
      <c r="AS169" s="7"/>
      <c r="AT169" s="7"/>
      <c r="AU169" s="7"/>
      <c r="AV169" s="7"/>
      <c r="AW169" s="7"/>
      <c r="AX169" s="7"/>
      <c r="AY169" s="7"/>
      <c r="AZ169" s="7"/>
      <c r="BA169" s="7"/>
      <c r="BB169" s="7"/>
      <c r="BC169" s="7"/>
    </row>
    <row r="170" spans="1:55" s="10" customFormat="1" x14ac:dyDescent="0.35">
      <c r="A170" s="12" t="s">
        <v>12</v>
      </c>
      <c r="B170" s="12">
        <v>8</v>
      </c>
      <c r="C170" s="13">
        <v>2007</v>
      </c>
      <c r="D170" s="16">
        <v>6.7685352018066283</v>
      </c>
      <c r="E170" s="16">
        <v>3.8193219335235398</v>
      </c>
      <c r="F170" s="15">
        <v>6.423</v>
      </c>
      <c r="G170" s="15">
        <v>21.597999999999999</v>
      </c>
      <c r="H170" s="22">
        <v>-1.4650000000000001</v>
      </c>
      <c r="I170" s="16">
        <v>6.1547090000000004</v>
      </c>
      <c r="J170" s="16">
        <v>11.4689</v>
      </c>
      <c r="K170" s="16">
        <v>6.3895651930152253</v>
      </c>
      <c r="L170" s="16">
        <v>16.0703661501379</v>
      </c>
      <c r="M170" s="16">
        <v>8.6795368078200799</v>
      </c>
      <c r="N170" s="16">
        <v>7.3908293423178204</v>
      </c>
      <c r="O170" s="16">
        <v>9.1501129999999975</v>
      </c>
      <c r="P170" s="16">
        <v>59.708860000000001</v>
      </c>
      <c r="Q170" s="16">
        <v>3.6551809999999998</v>
      </c>
      <c r="R170" s="16">
        <v>36.445480000000003</v>
      </c>
      <c r="S170" s="16">
        <v>18.59592</v>
      </c>
      <c r="T170" s="16">
        <v>61.38223</v>
      </c>
      <c r="U170" s="16">
        <v>21.675270000000001</v>
      </c>
      <c r="V170" s="16">
        <v>21.906601593874804</v>
      </c>
      <c r="W170" s="16">
        <v>-7.8500875442373008</v>
      </c>
      <c r="X170" s="16">
        <v>1132.0899999999999</v>
      </c>
      <c r="Y170" s="16">
        <v>19.830625586746702</v>
      </c>
      <c r="Z170" s="16">
        <v>28.22776919237856</v>
      </c>
      <c r="AA170" s="16">
        <v>10.265374211770073</v>
      </c>
      <c r="AB170" s="16">
        <v>16.638000000000002</v>
      </c>
      <c r="AC170" s="16">
        <f t="shared" si="3"/>
        <v>-8.3971436056318574</v>
      </c>
      <c r="AD170" s="8"/>
      <c r="AE170" s="8"/>
      <c r="AF170" s="12"/>
      <c r="AG170" s="12"/>
      <c r="AH170" s="12"/>
      <c r="AI170" s="12"/>
      <c r="AJ170" s="12"/>
      <c r="AK170" s="7"/>
      <c r="AL170" s="7"/>
      <c r="AM170" s="7"/>
      <c r="AN170" s="7"/>
      <c r="AO170" s="7"/>
      <c r="AP170" s="7"/>
      <c r="AQ170" s="7"/>
      <c r="AR170" s="7"/>
      <c r="AS170" s="7"/>
      <c r="AT170" s="7"/>
      <c r="AU170" s="7"/>
      <c r="AV170" s="7"/>
      <c r="AW170" s="7"/>
      <c r="AX170" s="7"/>
      <c r="AY170" s="7"/>
      <c r="AZ170" s="7"/>
      <c r="BA170" s="7"/>
      <c r="BB170" s="7"/>
      <c r="BC170" s="7"/>
    </row>
    <row r="171" spans="1:55" s="10" customFormat="1" x14ac:dyDescent="0.35">
      <c r="A171" s="12" t="s">
        <v>12</v>
      </c>
      <c r="B171" s="12">
        <v>8</v>
      </c>
      <c r="C171" s="13">
        <v>2008</v>
      </c>
      <c r="D171" s="16">
        <v>5.6864168597641935</v>
      </c>
      <c r="E171" s="16">
        <v>2.8460115093008653</v>
      </c>
      <c r="F171" s="15">
        <v>13.474</v>
      </c>
      <c r="G171" s="15">
        <v>21.515000000000001</v>
      </c>
      <c r="H171" s="22">
        <v>-1.9470000000000001</v>
      </c>
      <c r="I171" s="16">
        <v>5.6670689999999997</v>
      </c>
      <c r="J171" s="16">
        <v>11.911</v>
      </c>
      <c r="K171" s="16">
        <v>-1.2017622289003853</v>
      </c>
      <c r="L171" s="16">
        <v>14.982134677912899</v>
      </c>
      <c r="M171" s="16">
        <v>8.2526519366666697</v>
      </c>
      <c r="N171" s="16">
        <v>6.7294827412462297</v>
      </c>
      <c r="O171" s="16">
        <v>7.4649660000000004</v>
      </c>
      <c r="P171" s="16">
        <v>64.818070000000006</v>
      </c>
      <c r="Q171" s="16">
        <v>2.760329</v>
      </c>
      <c r="R171" s="16">
        <v>26.658069999999999</v>
      </c>
      <c r="S171" s="16">
        <v>17.975300000000001</v>
      </c>
      <c r="T171" s="16">
        <v>38.038139999999999</v>
      </c>
      <c r="U171" s="16">
        <v>22.29785</v>
      </c>
      <c r="V171" s="16">
        <v>18.126925677777201</v>
      </c>
      <c r="W171" s="16">
        <v>-9.2165434216112168</v>
      </c>
      <c r="X171" s="16">
        <v>1280.3</v>
      </c>
      <c r="Y171" s="16">
        <v>19.464611354852956</v>
      </c>
      <c r="Z171" s="16">
        <v>29.561933195647267</v>
      </c>
      <c r="AA171" s="16">
        <v>10.881296664476277</v>
      </c>
      <c r="AB171" s="16">
        <v>16.555</v>
      </c>
      <c r="AC171" s="16">
        <f t="shared" si="3"/>
        <v>-10.097321840794311</v>
      </c>
      <c r="AD171" s="8"/>
      <c r="AE171" s="8"/>
      <c r="AF171" s="12"/>
      <c r="AG171" s="12"/>
      <c r="AH171" s="12"/>
      <c r="AI171" s="12"/>
      <c r="AJ171" s="12"/>
      <c r="AK171" s="7"/>
      <c r="AL171" s="7"/>
      <c r="AM171" s="7"/>
      <c r="AN171" s="7"/>
      <c r="AO171" s="7"/>
      <c r="AP171" s="7"/>
      <c r="AQ171" s="7"/>
      <c r="AR171" s="7"/>
      <c r="AS171" s="7"/>
      <c r="AT171" s="7"/>
      <c r="AU171" s="7"/>
      <c r="AV171" s="7"/>
      <c r="AW171" s="7"/>
      <c r="AX171" s="7"/>
      <c r="AY171" s="7"/>
      <c r="AZ171" s="7"/>
      <c r="BA171" s="7"/>
      <c r="BB171" s="7"/>
      <c r="BC171" s="7"/>
    </row>
    <row r="172" spans="1:55" s="10" customFormat="1" x14ac:dyDescent="0.35">
      <c r="A172" s="12" t="s">
        <v>12</v>
      </c>
      <c r="B172" s="12">
        <v>8</v>
      </c>
      <c r="C172" s="13">
        <v>2009</v>
      </c>
      <c r="D172" s="16">
        <v>5.2691052479185316</v>
      </c>
      <c r="E172" s="16">
        <v>2.6712901769097073</v>
      </c>
      <c r="F172" s="15">
        <v>12.226000000000001</v>
      </c>
      <c r="G172" s="15">
        <v>24.359000000000002</v>
      </c>
      <c r="H172" s="22">
        <v>-4.4820000000000002</v>
      </c>
      <c r="I172" s="16">
        <v>5.6573079999999996</v>
      </c>
      <c r="J172" s="16">
        <v>11.2674</v>
      </c>
      <c r="K172" s="16">
        <v>5.4922304332011169</v>
      </c>
      <c r="L172" s="16">
        <v>15.030481824944699</v>
      </c>
      <c r="M172" s="16">
        <v>7.9718022606930399</v>
      </c>
      <c r="N172" s="16">
        <v>7.0586795642516593</v>
      </c>
      <c r="O172" s="16">
        <v>6.2827950000000001</v>
      </c>
      <c r="P172" s="16">
        <v>58.773980000000002</v>
      </c>
      <c r="Q172" s="16">
        <v>2.085772</v>
      </c>
      <c r="R172" s="16">
        <v>19.707740000000001</v>
      </c>
      <c r="S172" s="16">
        <v>18.72569</v>
      </c>
      <c r="T172" s="16">
        <v>39.586559999999999</v>
      </c>
      <c r="U172" s="16">
        <v>22.866679999999999</v>
      </c>
      <c r="V172" s="16">
        <v>23.552082783831757</v>
      </c>
      <c r="W172" s="16">
        <v>-6.2235250554857249</v>
      </c>
      <c r="X172" s="16">
        <v>1326.83</v>
      </c>
      <c r="Y172" s="16">
        <v>18.194265831236965</v>
      </c>
      <c r="Z172" s="16">
        <v>25.338334813941216</v>
      </c>
      <c r="AA172" s="16">
        <v>11.534174464344854</v>
      </c>
      <c r="AB172" s="16">
        <v>15.688000000000001</v>
      </c>
      <c r="AC172" s="16">
        <f t="shared" si="3"/>
        <v>-7.1440689827042512</v>
      </c>
      <c r="AD172" s="8"/>
      <c r="AE172" s="8"/>
      <c r="AF172" s="12"/>
      <c r="AG172" s="12"/>
      <c r="AH172" s="12"/>
      <c r="AI172" s="12"/>
      <c r="AJ172" s="12"/>
      <c r="AK172" s="7"/>
      <c r="AL172" s="7"/>
      <c r="AM172" s="7"/>
      <c r="AN172" s="7"/>
      <c r="AO172" s="7"/>
      <c r="AP172" s="7"/>
      <c r="AQ172" s="7"/>
      <c r="AR172" s="7"/>
      <c r="AS172" s="7"/>
      <c r="AT172" s="7"/>
      <c r="AU172" s="7"/>
      <c r="AV172" s="7"/>
      <c r="AW172" s="7"/>
      <c r="AX172" s="7"/>
      <c r="AY172" s="7"/>
      <c r="AZ172" s="7"/>
      <c r="BA172" s="7"/>
      <c r="BB172" s="7"/>
      <c r="BC172" s="7"/>
    </row>
    <row r="173" spans="1:55" s="10" customFormat="1" x14ac:dyDescent="0.35">
      <c r="A173" s="12" t="s">
        <v>12</v>
      </c>
      <c r="B173" s="12">
        <v>8</v>
      </c>
      <c r="C173" s="13">
        <v>2010</v>
      </c>
      <c r="D173" s="16">
        <v>6.336523427474944</v>
      </c>
      <c r="E173" s="16">
        <v>3.6250503426905425</v>
      </c>
      <c r="F173" s="15">
        <v>5.5529999999999999</v>
      </c>
      <c r="G173" s="15">
        <v>27.343</v>
      </c>
      <c r="H173" s="22">
        <v>-4.7679999999999998</v>
      </c>
      <c r="I173" s="16">
        <v>6.561941</v>
      </c>
      <c r="J173" s="16">
        <v>11.718299999999999</v>
      </c>
      <c r="K173" s="16">
        <v>4.6746874058390748</v>
      </c>
      <c r="L173" s="16">
        <v>14.544166666666699</v>
      </c>
      <c r="M173" s="16">
        <v>6.6233333333333304</v>
      </c>
      <c r="N173" s="16">
        <v>7.9208333333333689</v>
      </c>
      <c r="O173" s="16">
        <v>5.7675070000000002</v>
      </c>
      <c r="P173" s="16">
        <v>56.800620000000002</v>
      </c>
      <c r="Q173" s="16">
        <v>1.314414</v>
      </c>
      <c r="R173" s="16">
        <v>11.835889999999999</v>
      </c>
      <c r="S173" s="16">
        <v>20.254190000000001</v>
      </c>
      <c r="T173" s="16">
        <v>27.7669</v>
      </c>
      <c r="U173" s="16">
        <v>24.648</v>
      </c>
      <c r="V173" s="16">
        <v>22.886864243738156</v>
      </c>
      <c r="W173" s="16">
        <v>-6.9056129371730153</v>
      </c>
      <c r="X173" s="16">
        <v>1453.54</v>
      </c>
      <c r="Y173" s="16">
        <v>19.607528736906342</v>
      </c>
      <c r="Z173" s="16">
        <v>28.032910693418884</v>
      </c>
      <c r="AA173" s="16">
        <v>9.9122615824278064</v>
      </c>
      <c r="AB173" s="16">
        <v>15.478999999999999</v>
      </c>
      <c r="AC173" s="16">
        <f t="shared" si="3"/>
        <v>-8.4253819565125418</v>
      </c>
      <c r="AD173" s="8"/>
      <c r="AE173" s="8"/>
      <c r="AF173" s="12"/>
      <c r="AG173" s="12"/>
      <c r="AH173" s="12"/>
      <c r="AI173" s="12"/>
      <c r="AJ173" s="12"/>
      <c r="AK173" s="7"/>
      <c r="AL173" s="7"/>
      <c r="AM173" s="7"/>
      <c r="AN173" s="7"/>
      <c r="AO173" s="7"/>
      <c r="AP173" s="7"/>
      <c r="AQ173" s="7"/>
      <c r="AR173" s="7"/>
      <c r="AS173" s="7"/>
      <c r="AT173" s="7"/>
      <c r="AU173" s="7"/>
      <c r="AV173" s="7"/>
      <c r="AW173" s="7"/>
      <c r="AX173" s="7"/>
      <c r="AY173" s="7"/>
      <c r="AZ173" s="7"/>
      <c r="BA173" s="7"/>
      <c r="BB173" s="7"/>
      <c r="BC173" s="7"/>
    </row>
    <row r="174" spans="1:55" s="10" customFormat="1" x14ac:dyDescent="0.35">
      <c r="A174" s="12" t="s">
        <v>12</v>
      </c>
      <c r="B174" s="12">
        <v>8</v>
      </c>
      <c r="C174" s="13">
        <v>2011</v>
      </c>
      <c r="D174" s="16">
        <v>7.6721554349938401</v>
      </c>
      <c r="E174" s="16">
        <v>4.6492861993537673</v>
      </c>
      <c r="F174" s="15">
        <v>19.754000000000001</v>
      </c>
      <c r="G174" s="15">
        <v>27.841999999999999</v>
      </c>
      <c r="H174" s="22">
        <v>-3.5640000000000001</v>
      </c>
      <c r="I174" s="16">
        <v>5.0250950000000003</v>
      </c>
      <c r="J174" s="16">
        <v>12.355</v>
      </c>
      <c r="K174" s="16">
        <v>2.4643042065164265</v>
      </c>
      <c r="L174" s="16">
        <v>14.963333333333299</v>
      </c>
      <c r="M174" s="16">
        <v>6.7783333333333298</v>
      </c>
      <c r="N174" s="16">
        <v>8.1849999999999703</v>
      </c>
      <c r="O174" s="16">
        <v>7.180097</v>
      </c>
      <c r="P174" s="16">
        <v>61.496600000000001</v>
      </c>
      <c r="Q174" s="16">
        <v>1.6130869999999999</v>
      </c>
      <c r="R174" s="16">
        <v>15.32877</v>
      </c>
      <c r="S174" s="16">
        <v>19.852789999999999</v>
      </c>
      <c r="T174" s="16">
        <v>35.519779999999997</v>
      </c>
      <c r="U174" s="16">
        <v>24.12416</v>
      </c>
      <c r="V174" s="16">
        <v>23.53608061793598</v>
      </c>
      <c r="W174" s="16">
        <v>-12.640832827395169</v>
      </c>
      <c r="X174" s="16">
        <v>1566.66</v>
      </c>
      <c r="Y174" s="16">
        <v>21.634282327390057</v>
      </c>
      <c r="Z174" s="16">
        <v>34.531841855207027</v>
      </c>
      <c r="AA174" s="16">
        <v>9.7939820003844797</v>
      </c>
      <c r="AB174" s="16">
        <v>15.582000000000001</v>
      </c>
      <c r="AC174" s="16">
        <f t="shared" si="3"/>
        <v>-12.89755952781697</v>
      </c>
      <c r="AD174" s="8"/>
      <c r="AE174" s="8"/>
      <c r="AF174" s="12"/>
      <c r="AG174" s="12"/>
      <c r="AH174" s="12"/>
      <c r="AI174" s="12"/>
      <c r="AJ174" s="12"/>
      <c r="AK174" s="7"/>
      <c r="AL174" s="7"/>
      <c r="AM174" s="7"/>
      <c r="AN174" s="7"/>
      <c r="AO174" s="7"/>
      <c r="AP174" s="7"/>
      <c r="AQ174" s="7"/>
      <c r="AR174" s="7"/>
      <c r="AS174" s="7"/>
      <c r="AT174" s="7"/>
      <c r="AU174" s="7"/>
      <c r="AV174" s="7"/>
      <c r="AW174" s="7"/>
      <c r="AX174" s="7"/>
      <c r="AY174" s="7"/>
      <c r="AZ174" s="7"/>
      <c r="BA174" s="7"/>
      <c r="BB174" s="7"/>
      <c r="BC174" s="7"/>
    </row>
    <row r="175" spans="1:55" s="10" customFormat="1" x14ac:dyDescent="0.35">
      <c r="A175" s="12" t="s">
        <v>12</v>
      </c>
      <c r="B175" s="12">
        <v>8</v>
      </c>
      <c r="C175" s="13">
        <v>2012</v>
      </c>
      <c r="D175" s="16">
        <v>4.500153559821257</v>
      </c>
      <c r="E175" s="16">
        <v>1.5093487466651538</v>
      </c>
      <c r="F175" s="15">
        <v>12.061999999999999</v>
      </c>
      <c r="G175" s="15">
        <v>29.151</v>
      </c>
      <c r="H175" s="22">
        <v>-4.1189999999999998</v>
      </c>
      <c r="I175" s="16">
        <v>5.9436600000000004</v>
      </c>
      <c r="J175" s="16">
        <v>12.8184</v>
      </c>
      <c r="K175" s="16">
        <v>4.5914137206424064</v>
      </c>
      <c r="L175" s="16">
        <v>15.5566666666667</v>
      </c>
      <c r="M175" s="16">
        <v>9.5449999999999999</v>
      </c>
      <c r="N175" s="16">
        <v>6.0116666666667005</v>
      </c>
      <c r="O175" s="16">
        <v>7.0347749999999998</v>
      </c>
      <c r="P175" s="16">
        <v>65.502110000000002</v>
      </c>
      <c r="Q175" s="16">
        <v>1.762365</v>
      </c>
      <c r="R175" s="16">
        <v>17.06174</v>
      </c>
      <c r="S175" s="16">
        <v>19.43319</v>
      </c>
      <c r="T175" s="16">
        <v>34.765949999999997</v>
      </c>
      <c r="U175" s="16">
        <v>23.53002</v>
      </c>
      <c r="V175" s="16">
        <v>22.042638129680657</v>
      </c>
      <c r="W175" s="16">
        <v>-9.4937863705377055</v>
      </c>
      <c r="X175" s="16">
        <v>1571.62</v>
      </c>
      <c r="Y175" s="16">
        <v>22.372111684506983</v>
      </c>
      <c r="Z175" s="16">
        <v>31.996837397006832</v>
      </c>
      <c r="AA175" s="16">
        <v>10.43300401595717</v>
      </c>
      <c r="AB175" s="16">
        <v>15.664999999999999</v>
      </c>
      <c r="AC175" s="16">
        <f t="shared" si="3"/>
        <v>-9.6247257124998491</v>
      </c>
      <c r="AD175" s="8"/>
      <c r="AE175" s="8"/>
      <c r="AF175" s="12"/>
      <c r="AG175" s="12"/>
      <c r="AH175" s="12"/>
      <c r="AI175" s="12"/>
      <c r="AJ175" s="12"/>
      <c r="AK175" s="7"/>
      <c r="AL175" s="7"/>
      <c r="AM175" s="7"/>
      <c r="AN175" s="7"/>
      <c r="AO175" s="7"/>
      <c r="AP175" s="7"/>
      <c r="AQ175" s="7"/>
      <c r="AR175" s="7"/>
      <c r="AS175" s="7"/>
      <c r="AT175" s="7"/>
      <c r="AU175" s="7"/>
      <c r="AV175" s="7"/>
      <c r="AW175" s="7"/>
      <c r="AX175" s="7"/>
      <c r="AY175" s="7"/>
      <c r="AZ175" s="7"/>
      <c r="BA175" s="7"/>
      <c r="BB175" s="7"/>
      <c r="BC175" s="7"/>
    </row>
    <row r="176" spans="1:55" x14ac:dyDescent="0.35">
      <c r="A176" s="12" t="s">
        <v>12</v>
      </c>
      <c r="B176" s="12">
        <v>8</v>
      </c>
      <c r="C176" s="13">
        <v>2013</v>
      </c>
      <c r="D176" s="16">
        <v>6.781585600653159</v>
      </c>
      <c r="E176" s="16">
        <v>3.6055464017314591</v>
      </c>
      <c r="F176" s="15">
        <v>5.5609999999999999</v>
      </c>
      <c r="G176" s="15">
        <v>30.901</v>
      </c>
      <c r="H176" s="22">
        <v>-3.9180000000000001</v>
      </c>
      <c r="I176" s="16">
        <v>6.3618920000000001</v>
      </c>
      <c r="J176" s="16">
        <v>12.5373</v>
      </c>
      <c r="K176" s="16">
        <v>5.6486416808436335</v>
      </c>
      <c r="L176" s="16">
        <v>15.8608333333333</v>
      </c>
      <c r="M176" s="16">
        <v>9.9683333333333302</v>
      </c>
      <c r="N176" s="16">
        <v>5.8924999999999699</v>
      </c>
      <c r="O176" s="16">
        <v>7.5254729999999999</v>
      </c>
      <c r="P176" s="16">
        <v>68.254440000000002</v>
      </c>
      <c r="Q176" s="16">
        <v>1.6328050000000001</v>
      </c>
      <c r="R176" s="16">
        <v>14.080019999999999</v>
      </c>
      <c r="S176" s="16">
        <v>18.256250000000001</v>
      </c>
      <c r="T176" s="16">
        <v>20.16555</v>
      </c>
      <c r="U176" s="16">
        <v>22.071000000000002</v>
      </c>
      <c r="V176" s="16">
        <v>21.488413176648411</v>
      </c>
      <c r="W176" s="16">
        <v>-10.919213166360576</v>
      </c>
      <c r="X176" s="16">
        <v>1578.57</v>
      </c>
      <c r="Y176" s="16">
        <v>19.012787601366565</v>
      </c>
      <c r="Z176" s="16">
        <v>29.61883992818294</v>
      </c>
      <c r="AA176" s="16">
        <v>10.721923448486844</v>
      </c>
      <c r="AB176" s="16">
        <v>15.461</v>
      </c>
      <c r="AC176" s="16">
        <f t="shared" si="3"/>
        <v>-10.606052326816375</v>
      </c>
    </row>
    <row r="177" spans="1:55" x14ac:dyDescent="0.35">
      <c r="A177" s="12" t="s">
        <v>12</v>
      </c>
      <c r="B177" s="12">
        <v>8</v>
      </c>
      <c r="C177" s="13">
        <v>2014</v>
      </c>
      <c r="D177" s="16">
        <v>6.7324618683248332</v>
      </c>
      <c r="E177" s="16">
        <v>3.4593883454002707</v>
      </c>
      <c r="F177" s="15">
        <v>4.7519999999999998</v>
      </c>
      <c r="G177" s="15">
        <v>33.795000000000002</v>
      </c>
      <c r="H177" s="22">
        <v>-3.0169999999999999</v>
      </c>
      <c r="I177" s="16">
        <v>6.087656</v>
      </c>
      <c r="J177" s="16">
        <v>13.303699999999999</v>
      </c>
      <c r="K177" s="16">
        <v>9.6557338681308789</v>
      </c>
      <c r="L177" s="16">
        <v>16.2908333333333</v>
      </c>
      <c r="M177" s="16">
        <v>9.8550000000000004</v>
      </c>
      <c r="N177" s="16">
        <v>6.4358333333332993</v>
      </c>
      <c r="O177" s="16">
        <v>8.4941840000000006</v>
      </c>
      <c r="P177" s="16">
        <v>71.897589999999994</v>
      </c>
      <c r="Q177" s="16">
        <v>2.0894699999999999</v>
      </c>
      <c r="R177" s="16">
        <v>16.272089999999999</v>
      </c>
      <c r="S177" s="16">
        <v>18.396239999999999</v>
      </c>
      <c r="T177" s="16">
        <v>20.372910000000001</v>
      </c>
      <c r="U177" s="16">
        <v>22.534420000000001</v>
      </c>
      <c r="V177" s="16">
        <v>22.219493336833757</v>
      </c>
      <c r="W177" s="16">
        <v>-10.131122125945414</v>
      </c>
      <c r="X177" s="16">
        <v>1725.78</v>
      </c>
      <c r="Y177" s="16">
        <v>18.069209276081338</v>
      </c>
      <c r="Z177" s="16">
        <v>27.286813067225168</v>
      </c>
      <c r="AA177" s="16">
        <v>11.363796887442831</v>
      </c>
      <c r="AB177" s="16">
        <v>14.897</v>
      </c>
      <c r="AC177" s="16">
        <f t="shared" si="3"/>
        <v>-9.21760379114383</v>
      </c>
    </row>
    <row r="178" spans="1:55" x14ac:dyDescent="0.35">
      <c r="A178" s="12" t="s">
        <v>12</v>
      </c>
      <c r="B178" s="12">
        <v>8</v>
      </c>
      <c r="C178" s="13">
        <v>2015</v>
      </c>
      <c r="D178" s="16">
        <v>6.1606287740668222</v>
      </c>
      <c r="E178" s="16">
        <v>2.6742041447340057</v>
      </c>
      <c r="F178" s="15">
        <v>6.8380000000000001</v>
      </c>
      <c r="G178" s="15">
        <v>36.713000000000001</v>
      </c>
      <c r="H178" s="22">
        <v>-3.2909999999999999</v>
      </c>
      <c r="I178" s="16">
        <v>5.4262189999999997</v>
      </c>
      <c r="J178" s="16">
        <v>14.6135</v>
      </c>
      <c r="K178" s="16">
        <v>7.9129361858746412</v>
      </c>
      <c r="L178" s="16">
        <v>16.105</v>
      </c>
      <c r="M178" s="16">
        <v>9.8975000000000009</v>
      </c>
      <c r="N178" s="16">
        <v>6.2074999999999996</v>
      </c>
      <c r="O178" s="16">
        <v>7.8471419999999998</v>
      </c>
      <c r="P178" s="16">
        <v>75.185810000000004</v>
      </c>
      <c r="Q178" s="16">
        <v>1.660787</v>
      </c>
      <c r="R178" s="16">
        <v>12.57063</v>
      </c>
      <c r="S178" s="16">
        <v>19.24841</v>
      </c>
      <c r="T178" s="16">
        <v>24.294979999999999</v>
      </c>
      <c r="U178" s="16">
        <v>23.439810000000001</v>
      </c>
      <c r="V178" s="16">
        <v>22.857440581452597</v>
      </c>
      <c r="W178" s="16">
        <v>-9.450296126786494</v>
      </c>
      <c r="X178" s="16">
        <v>2148.52</v>
      </c>
      <c r="Y178" s="16">
        <v>17.104911553096525</v>
      </c>
      <c r="Z178" s="16">
        <v>23.652769324734841</v>
      </c>
      <c r="AA178" s="16">
        <v>10.492495494465329</v>
      </c>
      <c r="AB178" s="16">
        <v>14.522</v>
      </c>
      <c r="AC178" s="16">
        <f t="shared" si="3"/>
        <v>-6.5478577716383164</v>
      </c>
    </row>
    <row r="179" spans="1:55" x14ac:dyDescent="0.35">
      <c r="A179" s="12" t="s">
        <v>12</v>
      </c>
      <c r="B179" s="12">
        <v>8</v>
      </c>
      <c r="C179" s="13">
        <v>2016</v>
      </c>
      <c r="D179" s="16">
        <v>6.8671161964455081</v>
      </c>
      <c r="E179" s="16">
        <v>3.2208429124574138</v>
      </c>
      <c r="F179" s="15">
        <v>5.0430000000000001</v>
      </c>
      <c r="G179" s="15">
        <v>37.243000000000002</v>
      </c>
      <c r="H179" s="22">
        <v>-3.1309999999999998</v>
      </c>
      <c r="I179" s="16">
        <v>5.0637350000000003</v>
      </c>
      <c r="J179" s="16">
        <v>13.670299999999999</v>
      </c>
      <c r="K179" s="16">
        <v>7.8962864813589499</v>
      </c>
      <c r="L179" s="16">
        <v>15.9583333333333</v>
      </c>
      <c r="M179" s="16">
        <v>10.4958333333333</v>
      </c>
      <c r="N179" s="16">
        <v>5.4625000000000004</v>
      </c>
      <c r="O179" s="16">
        <v>9.0778750000000006</v>
      </c>
      <c r="P179" s="16">
        <v>80.783090000000001</v>
      </c>
      <c r="Q179" s="16">
        <v>1.5156700000000001</v>
      </c>
      <c r="R179" s="16">
        <v>10.65554</v>
      </c>
      <c r="S179" s="16">
        <v>16.785139999999998</v>
      </c>
      <c r="T179" s="16">
        <v>21.324069999999999</v>
      </c>
      <c r="U179" s="16">
        <v>21.112469999999998</v>
      </c>
      <c r="V179" s="16">
        <v>20.039147327210941</v>
      </c>
      <c r="W179" s="16">
        <v>-5.5034800871578273</v>
      </c>
      <c r="X179" s="16">
        <v>2172.62</v>
      </c>
      <c r="Y179" s="16">
        <v>16.349975063903965</v>
      </c>
      <c r="Z179" s="16">
        <v>19.070495336359635</v>
      </c>
      <c r="AA179" s="16">
        <v>11.39033993680771</v>
      </c>
      <c r="AB179" s="16">
        <v>15.454000000000001</v>
      </c>
      <c r="AC179" s="16">
        <f t="shared" si="3"/>
        <v>-2.7205202724556692</v>
      </c>
    </row>
    <row r="180" spans="1:55" x14ac:dyDescent="0.35">
      <c r="A180" s="12" t="s">
        <v>12</v>
      </c>
      <c r="B180" s="12">
        <v>8</v>
      </c>
      <c r="C180" s="13">
        <v>2017</v>
      </c>
      <c r="D180" s="16">
        <v>6.7729059695303135</v>
      </c>
      <c r="E180" s="16">
        <v>3.2513002896516383</v>
      </c>
      <c r="F180" s="15">
        <v>5</v>
      </c>
      <c r="G180" s="15">
        <v>37.417000000000002</v>
      </c>
      <c r="H180" s="22">
        <v>-3.419</v>
      </c>
      <c r="I180" s="16">
        <v>5.5763939999999996</v>
      </c>
      <c r="J180" s="16">
        <v>13.065300000000001</v>
      </c>
      <c r="K180" s="16">
        <v>14.756136157145727</v>
      </c>
      <c r="L180" s="16">
        <v>17.774166666666702</v>
      </c>
      <c r="M180" s="16">
        <v>11.185</v>
      </c>
      <c r="N180" s="16">
        <v>6.589166666666701</v>
      </c>
      <c r="O180" s="16">
        <v>8.934196</v>
      </c>
      <c r="P180" s="16">
        <v>77.784390000000002</v>
      </c>
      <c r="Q180" s="16">
        <v>0.92956000000000005</v>
      </c>
      <c r="R180" s="16">
        <v>6.2449370000000002</v>
      </c>
      <c r="S180" s="16">
        <v>16.69519</v>
      </c>
      <c r="T180" s="16">
        <v>24.189399999999999</v>
      </c>
      <c r="U180" s="16">
        <v>20.813099999999999</v>
      </c>
      <c r="V180" s="16">
        <v>22.505981704848395</v>
      </c>
      <c r="W180" s="16">
        <v>-3.3460685428158028</v>
      </c>
      <c r="X180" s="16">
        <v>2230.0700000000002</v>
      </c>
      <c r="Y180" s="16">
        <v>15.663179519796008</v>
      </c>
      <c r="Z180" s="16">
        <v>17.448752800836338</v>
      </c>
      <c r="AA180" s="16">
        <v>11.836719019283795</v>
      </c>
      <c r="AB180" s="16">
        <v>16.116</v>
      </c>
      <c r="AC180" s="16">
        <f t="shared" si="3"/>
        <v>-1.78557328104033</v>
      </c>
    </row>
    <row r="181" spans="1:55" x14ac:dyDescent="0.35">
      <c r="A181" s="12" t="s">
        <v>12</v>
      </c>
      <c r="B181" s="12">
        <v>8</v>
      </c>
      <c r="C181" s="13">
        <v>2018</v>
      </c>
      <c r="D181" s="16">
        <v>5.4575829039392119</v>
      </c>
      <c r="E181" s="16">
        <v>2.1406131143806988</v>
      </c>
      <c r="F181" s="15">
        <v>5</v>
      </c>
      <c r="G181" s="15">
        <v>38.274000000000001</v>
      </c>
      <c r="H181" s="22">
        <v>-4.2759999999999998</v>
      </c>
      <c r="I181" s="16">
        <v>4.4708180000000004</v>
      </c>
      <c r="J181" s="16">
        <v>12.7</v>
      </c>
      <c r="K181" s="16">
        <v>13.939504432491022</v>
      </c>
      <c r="L181" s="16">
        <v>17.414166666666699</v>
      </c>
      <c r="M181" s="16">
        <v>8.1999999999999993</v>
      </c>
      <c r="N181" s="16">
        <v>9.2141666666666993</v>
      </c>
      <c r="O181" s="16">
        <v>8.7992939999999997</v>
      </c>
      <c r="P181" s="16">
        <v>79.273610000000005</v>
      </c>
      <c r="Q181" s="16">
        <v>0.72234359999999997</v>
      </c>
      <c r="R181" s="16">
        <v>4.9272609999999997</v>
      </c>
      <c r="S181" s="16">
        <v>15.93474</v>
      </c>
      <c r="T181" s="16">
        <v>31.656580000000002</v>
      </c>
      <c r="U181" s="16">
        <v>20.011389999999999</v>
      </c>
      <c r="V181" s="16">
        <v>19.151237796601972</v>
      </c>
      <c r="W181" s="16">
        <v>-3.9687428832334941</v>
      </c>
      <c r="X181" s="16">
        <v>2281.23</v>
      </c>
      <c r="Y181" s="16">
        <v>14.739143393171123</v>
      </c>
      <c r="Z181" s="16">
        <v>17.903466511202581</v>
      </c>
      <c r="AA181" s="16">
        <v>11.69508305828797</v>
      </c>
      <c r="AB181" s="16">
        <v>16.332000000000001</v>
      </c>
      <c r="AC181" s="16">
        <f t="shared" si="3"/>
        <v>-3.1643231180314579</v>
      </c>
    </row>
    <row r="182" spans="1:55" x14ac:dyDescent="0.35">
      <c r="A182" s="12" t="s">
        <v>12</v>
      </c>
      <c r="B182" s="12">
        <v>8</v>
      </c>
      <c r="C182" s="13">
        <v>2019</v>
      </c>
      <c r="D182" s="16">
        <v>5.7999999999672269</v>
      </c>
      <c r="E182" s="16">
        <v>2.6563221220181674</v>
      </c>
      <c r="F182" s="15">
        <v>5</v>
      </c>
      <c r="G182" s="15">
        <v>39.502000000000002</v>
      </c>
      <c r="H182" s="22">
        <v>-4.58</v>
      </c>
      <c r="I182" s="16">
        <v>4.885421</v>
      </c>
      <c r="J182" s="16">
        <v>12.615500000000001</v>
      </c>
      <c r="K182" s="16">
        <v>14.36</v>
      </c>
      <c r="L182" s="16">
        <v>16.970833333333299</v>
      </c>
      <c r="M182" s="16">
        <v>7.1041666666666696</v>
      </c>
      <c r="N182" s="16">
        <v>9.8666666666666298</v>
      </c>
      <c r="O182" s="16">
        <v>8.9980360000000008</v>
      </c>
      <c r="P182" s="16">
        <v>80.407300000000006</v>
      </c>
      <c r="Q182" s="16">
        <v>1.2295499999999999</v>
      </c>
      <c r="R182" s="16">
        <v>8.4510269999999998</v>
      </c>
      <c r="S182" s="16">
        <v>15.59524</v>
      </c>
      <c r="T182" s="16">
        <v>31.43526</v>
      </c>
      <c r="U182" s="16">
        <v>20.275490000000001</v>
      </c>
      <c r="V182" s="16">
        <v>16.793334120270586</v>
      </c>
      <c r="W182" s="16">
        <v>-2.4778994711286715</v>
      </c>
      <c r="X182" s="16">
        <v>2287.9299999999998</v>
      </c>
      <c r="Y182" s="16">
        <v>16.036746148498576</v>
      </c>
      <c r="Z182" s="16">
        <v>16.981843101732537</v>
      </c>
      <c r="AA182" s="16">
        <v>11.847454619028099</v>
      </c>
      <c r="AB182" s="16">
        <v>16.690999999999999</v>
      </c>
      <c r="AC182" s="16">
        <f t="shared" si="3"/>
        <v>-0.94509695323396059</v>
      </c>
    </row>
    <row r="183" spans="1:55" x14ac:dyDescent="0.35">
      <c r="A183" s="12" t="s">
        <v>12</v>
      </c>
      <c r="B183" s="12">
        <v>8</v>
      </c>
      <c r="C183" s="13">
        <v>2020</v>
      </c>
      <c r="D183" s="16">
        <v>1.9919646064785468</v>
      </c>
      <c r="E183" s="16">
        <v>1.9257907185740775</v>
      </c>
      <c r="F183" s="15">
        <v>5</v>
      </c>
      <c r="G183" s="15">
        <v>40.343000000000004</v>
      </c>
      <c r="H183" s="22">
        <v>-4.13</v>
      </c>
      <c r="I183" s="16">
        <v>5.885421</v>
      </c>
      <c r="J183" s="16">
        <v>13.164199999999999</v>
      </c>
      <c r="K183" s="16">
        <v>9.6375020157746825</v>
      </c>
      <c r="L183" s="16">
        <v>16.679534108958499</v>
      </c>
      <c r="M183" s="16">
        <v>6.6819245596723098</v>
      </c>
      <c r="N183" s="16">
        <v>9.9976095492861887</v>
      </c>
      <c r="O183" s="16">
        <v>8.4094929999999994</v>
      </c>
      <c r="P183" s="16">
        <v>81.194999999999993</v>
      </c>
      <c r="Q183" s="16">
        <v>1.3719209999999999</v>
      </c>
      <c r="R183" s="16">
        <v>9.2701510000000003</v>
      </c>
      <c r="S183" s="16">
        <v>15.53157</v>
      </c>
      <c r="T183" s="16">
        <v>25.251860000000001</v>
      </c>
      <c r="U183" s="16">
        <v>20.145569999999999</v>
      </c>
      <c r="V183" s="16">
        <v>13.756372719261545</v>
      </c>
      <c r="W183" s="16">
        <v>-1.6982049846729119</v>
      </c>
      <c r="X183" s="16">
        <v>2298.4648514851501</v>
      </c>
      <c r="Y183" s="16">
        <v>13.5038738462361</v>
      </c>
      <c r="Z183" s="16">
        <v>14.459141350752258</v>
      </c>
      <c r="AA183" s="16">
        <v>11.999826179768229</v>
      </c>
      <c r="AB183" s="16">
        <v>16.864000000000001</v>
      </c>
      <c r="AC183" s="16">
        <f t="shared" si="3"/>
        <v>-0.95526750451615783</v>
      </c>
    </row>
    <row r="184" spans="1:55" x14ac:dyDescent="0.35">
      <c r="A184" s="12" t="s">
        <v>12</v>
      </c>
      <c r="B184" s="12">
        <v>8</v>
      </c>
      <c r="C184" s="13">
        <v>2021</v>
      </c>
      <c r="D184" s="16">
        <v>4.3213842948048153</v>
      </c>
      <c r="E184" s="16">
        <v>1.1952593151299875</v>
      </c>
      <c r="F184" s="15">
        <v>5</v>
      </c>
      <c r="G184" s="15">
        <v>40.805</v>
      </c>
      <c r="H184" s="22">
        <v>-3.3069999999999999</v>
      </c>
      <c r="I184" s="16">
        <v>6.885421</v>
      </c>
      <c r="J184" s="16">
        <v>13.712899999999998</v>
      </c>
      <c r="K184" s="16">
        <v>7.4865008074165118</v>
      </c>
      <c r="L184" s="16">
        <v>16.388234884583699</v>
      </c>
      <c r="M184" s="16">
        <v>6.25968245267795</v>
      </c>
      <c r="N184" s="16">
        <v>10.128552431905748</v>
      </c>
      <c r="O184" s="16">
        <v>8.0442450000000001</v>
      </c>
      <c r="P184" s="16">
        <v>81.98269999999998</v>
      </c>
      <c r="Q184" s="16">
        <v>2.3731089999999999</v>
      </c>
      <c r="R184" s="16">
        <v>15.664490000000001</v>
      </c>
      <c r="S184" s="16">
        <v>15.4679</v>
      </c>
      <c r="T184" s="16">
        <v>24.299659999999999</v>
      </c>
      <c r="U184" s="16">
        <v>20.015649999999997</v>
      </c>
      <c r="V184" s="16">
        <v>10.719411318252506</v>
      </c>
      <c r="W184" s="16"/>
      <c r="X184" s="16">
        <v>2297.609109</v>
      </c>
      <c r="Y184" s="16">
        <v>14.120022326581511</v>
      </c>
      <c r="Z184" s="16">
        <v>15.79516168082332</v>
      </c>
      <c r="AA184" s="16">
        <v>12.15219774050836</v>
      </c>
      <c r="AB184" s="16">
        <v>17.059999999999999</v>
      </c>
      <c r="AC184" s="16">
        <f t="shared" si="3"/>
        <v>-1.6751393542418089</v>
      </c>
    </row>
    <row r="185" spans="1:55" x14ac:dyDescent="0.35">
      <c r="A185" s="12" t="s">
        <v>12</v>
      </c>
      <c r="B185" s="12">
        <v>8</v>
      </c>
      <c r="C185" s="13">
        <v>2022</v>
      </c>
      <c r="D185" s="16">
        <v>4.5580273385858732</v>
      </c>
      <c r="E185" s="16">
        <v>0.46472791168589733</v>
      </c>
      <c r="F185" s="15">
        <v>5</v>
      </c>
      <c r="G185" s="15">
        <v>41.000999999999998</v>
      </c>
      <c r="H185" s="22">
        <v>-2.5630000000000002</v>
      </c>
      <c r="I185" s="16">
        <v>7.885421</v>
      </c>
      <c r="J185" s="16">
        <v>14.261599999999994</v>
      </c>
      <c r="K185" s="16">
        <v>5.3354995990583411</v>
      </c>
      <c r="L185" s="16">
        <v>16.096935660208899</v>
      </c>
      <c r="M185" s="16">
        <v>5.8374403456835893</v>
      </c>
      <c r="N185" s="16">
        <v>10.359495314525301</v>
      </c>
      <c r="O185" s="16">
        <v>7.6789970000000016</v>
      </c>
      <c r="P185" s="16">
        <v>82.770399999999967</v>
      </c>
      <c r="Q185" s="16">
        <v>3.4</v>
      </c>
      <c r="R185" s="16">
        <v>14.2</v>
      </c>
      <c r="S185" s="16">
        <v>15.40423</v>
      </c>
      <c r="T185" s="16">
        <v>35.200000000000003</v>
      </c>
      <c r="U185" s="16">
        <v>19.885729999999995</v>
      </c>
      <c r="V185" s="16">
        <v>17.6824499172434</v>
      </c>
      <c r="W185" s="16"/>
      <c r="X185" s="16">
        <v>2305.21</v>
      </c>
      <c r="Y185" s="16">
        <v>15.421375994580785</v>
      </c>
      <c r="Z185" s="16">
        <v>19.599483468481381</v>
      </c>
      <c r="AA185" s="16">
        <v>12.30456930124849</v>
      </c>
      <c r="AB185" s="16">
        <v>17.45</v>
      </c>
      <c r="AC185" s="16">
        <f t="shared" si="3"/>
        <v>-4.1781074739005959</v>
      </c>
      <c r="AF185" s="8">
        <v>3.4985651140387399</v>
      </c>
      <c r="AG185" s="8">
        <v>8.98677777119571</v>
      </c>
      <c r="AH185" s="8">
        <v>8.9158906595245693</v>
      </c>
      <c r="AI185" s="8">
        <v>10.9781597459474</v>
      </c>
      <c r="AJ185" s="12">
        <v>13.483881988005701</v>
      </c>
      <c r="AK185" s="11">
        <v>13.7494893821573</v>
      </c>
      <c r="AL185" s="11">
        <v>11.1603852797878</v>
      </c>
      <c r="AM185" s="11">
        <v>12.0867086689315</v>
      </c>
      <c r="AN185" s="11">
        <v>11.6547162298363</v>
      </c>
      <c r="AO185" s="11">
        <v>11.158240597752499</v>
      </c>
      <c r="AP185" s="11">
        <v>11.090373928763601</v>
      </c>
      <c r="AQ185" s="11">
        <v>8.4802965727525308</v>
      </c>
      <c r="AR185" s="11">
        <v>10.2572198898278</v>
      </c>
    </row>
    <row r="186" spans="1:55" x14ac:dyDescent="0.35">
      <c r="A186" s="12" t="s">
        <v>13</v>
      </c>
      <c r="B186" s="12">
        <v>9</v>
      </c>
      <c r="C186" s="13">
        <v>2000</v>
      </c>
      <c r="D186" s="16">
        <v>3.8973229434189562</v>
      </c>
      <c r="E186" s="16">
        <v>1.0622916924299233</v>
      </c>
      <c r="F186" s="21">
        <v>30.1</v>
      </c>
      <c r="G186" s="15">
        <v>260.964</v>
      </c>
      <c r="H186" s="22">
        <v>1.161</v>
      </c>
      <c r="I186" s="16">
        <v>8.8854210000000009</v>
      </c>
      <c r="J186" s="16">
        <v>7.3702137865345794</v>
      </c>
      <c r="K186" s="16">
        <v>4.6647680701876979</v>
      </c>
      <c r="L186" s="16">
        <v>38.799999999999997</v>
      </c>
      <c r="M186" s="16">
        <v>20.241666666666699</v>
      </c>
      <c r="N186" s="16">
        <v>18.558333333333298</v>
      </c>
      <c r="O186" s="16">
        <v>6.7046380000000001</v>
      </c>
      <c r="P186" s="16">
        <f>AVERAGE(P187:P192)</f>
        <v>50.991905635109582</v>
      </c>
      <c r="Q186" s="16">
        <v>0.179451</v>
      </c>
      <c r="R186" s="16">
        <v>1.467803</v>
      </c>
      <c r="S186" s="16">
        <f t="shared" ref="S186:S194" si="4">S187/1.03</f>
        <v>12.084483491395458</v>
      </c>
      <c r="T186" s="16">
        <v>37.671610000000001</v>
      </c>
      <c r="U186" s="16">
        <f t="shared" ref="U186:U191" si="5">U187/0.97</f>
        <v>24.472241784617033</v>
      </c>
      <c r="V186" s="16"/>
      <c r="W186" s="16">
        <v>-18.398064978404161</v>
      </c>
      <c r="X186" s="16">
        <v>4.1578299999999997</v>
      </c>
      <c r="Y186" s="16">
        <v>23.923860830771183</v>
      </c>
      <c r="Z186" s="16">
        <v>36.463608157725282</v>
      </c>
      <c r="AA186" s="16">
        <v>14.344860558529275</v>
      </c>
      <c r="AB186" s="22">
        <v>22.568999999999999</v>
      </c>
      <c r="AC186" s="16">
        <f t="shared" si="3"/>
        <v>-12.5397473269541</v>
      </c>
    </row>
    <row r="187" spans="1:55" s="10" customFormat="1" x14ac:dyDescent="0.35">
      <c r="A187" s="12" t="s">
        <v>13</v>
      </c>
      <c r="B187" s="12">
        <v>9</v>
      </c>
      <c r="C187" s="13">
        <v>2001</v>
      </c>
      <c r="D187" s="16">
        <v>5.3168682741841877</v>
      </c>
      <c r="E187" s="16">
        <v>2.2083150209361975</v>
      </c>
      <c r="F187" s="21">
        <v>18.678000000000001</v>
      </c>
      <c r="G187" s="15">
        <v>210.24299999999999</v>
      </c>
      <c r="H187" s="22">
        <v>-5.8920000000000003</v>
      </c>
      <c r="I187" s="16">
        <v>6.85</v>
      </c>
      <c r="J187" s="16">
        <v>6.3597687550777788</v>
      </c>
      <c r="K187" s="16">
        <v>16.677463489596313</v>
      </c>
      <c r="L187" s="16">
        <v>46.233333333333299</v>
      </c>
      <c r="M187" s="16">
        <v>23.408333333333299</v>
      </c>
      <c r="N187" s="16">
        <v>22.824999999999999</v>
      </c>
      <c r="O187" s="16">
        <v>12.06969</v>
      </c>
      <c r="P187" s="16">
        <f>P188/1.04</f>
        <v>46.125820236331087</v>
      </c>
      <c r="Q187" s="16">
        <v>-0.52601679999999995</v>
      </c>
      <c r="R187" s="16">
        <v>-4.1390700000000002</v>
      </c>
      <c r="S187" s="16">
        <f t="shared" si="4"/>
        <v>12.447017996137323</v>
      </c>
      <c r="T187" s="16">
        <v>58.513860000000001</v>
      </c>
      <c r="U187" s="16">
        <f t="shared" si="5"/>
        <v>23.738074531078521</v>
      </c>
      <c r="V187" s="16">
        <v>23.145629240221023</v>
      </c>
      <c r="W187" s="16">
        <v>-18.000785596350578</v>
      </c>
      <c r="X187" s="16">
        <v>3.8304</v>
      </c>
      <c r="Y187" s="16">
        <v>25.109699098694961</v>
      </c>
      <c r="Z187" s="16">
        <v>39.558583610284032</v>
      </c>
      <c r="AA187" s="16">
        <v>16.540704458815274</v>
      </c>
      <c r="AB187" s="22">
        <v>22.07</v>
      </c>
      <c r="AC187" s="16">
        <f t="shared" si="3"/>
        <v>-14.448884511589071</v>
      </c>
      <c r="AD187" s="8"/>
      <c r="AE187" s="8"/>
      <c r="AF187" s="12"/>
      <c r="AG187" s="12"/>
      <c r="AH187" s="12"/>
      <c r="AI187" s="12"/>
      <c r="AJ187" s="12"/>
      <c r="AK187" s="7"/>
      <c r="AL187" s="7"/>
      <c r="AM187" s="7"/>
      <c r="AN187" s="7"/>
      <c r="AO187" s="7"/>
      <c r="AP187" s="7"/>
      <c r="AQ187" s="7"/>
      <c r="AR187" s="7"/>
      <c r="AS187" s="7"/>
      <c r="AT187" s="7"/>
      <c r="AU187" s="7"/>
      <c r="AV187" s="7"/>
      <c r="AW187" s="7"/>
      <c r="AX187" s="7"/>
      <c r="AY187" s="7"/>
      <c r="AZ187" s="7"/>
      <c r="BA187" s="7"/>
      <c r="BB187" s="7"/>
      <c r="BC187" s="7"/>
    </row>
    <row r="188" spans="1:55" s="10" customFormat="1" x14ac:dyDescent="0.35">
      <c r="A188" s="12" t="s">
        <v>13</v>
      </c>
      <c r="B188" s="12">
        <v>9</v>
      </c>
      <c r="C188" s="13">
        <v>2002</v>
      </c>
      <c r="D188" s="16">
        <v>4.5060142803260419</v>
      </c>
      <c r="E188" s="16">
        <v>1.3600814107950185</v>
      </c>
      <c r="F188" s="21">
        <v>26.654</v>
      </c>
      <c r="G188" s="15">
        <v>180.244</v>
      </c>
      <c r="H188" s="22">
        <v>-4.4989999999999997</v>
      </c>
      <c r="I188" s="16">
        <v>6.93</v>
      </c>
      <c r="J188" s="16">
        <v>5.2985061432804947</v>
      </c>
      <c r="K188" s="16">
        <v>21.615624281608685</v>
      </c>
      <c r="L188" s="16">
        <v>45.198016666666703</v>
      </c>
      <c r="M188" s="16">
        <v>23.324999999999999</v>
      </c>
      <c r="N188" s="16">
        <v>21.873016666666704</v>
      </c>
      <c r="O188" s="16">
        <v>8.0862820000000006</v>
      </c>
      <c r="P188" s="16">
        <f>P189/1.04</f>
        <v>47.970853045784331</v>
      </c>
      <c r="Q188" s="16">
        <v>0.23197499999999999</v>
      </c>
      <c r="R188" s="16">
        <v>1.852014</v>
      </c>
      <c r="S188" s="16">
        <f t="shared" si="4"/>
        <v>12.820428536021442</v>
      </c>
      <c r="T188" s="16">
        <v>64.627070000000003</v>
      </c>
      <c r="U188" s="16">
        <f t="shared" si="5"/>
        <v>23.025932295146166</v>
      </c>
      <c r="V188" s="16">
        <v>31.56844830857467</v>
      </c>
      <c r="W188" s="16">
        <v>-15.814210844800172</v>
      </c>
      <c r="X188" s="16">
        <v>4.3343999999999996</v>
      </c>
      <c r="Y188" s="16">
        <v>27.133678330869778</v>
      </c>
      <c r="Z188" s="16">
        <v>37.782818668195048</v>
      </c>
      <c r="AA188" s="16">
        <v>15.440012868458922</v>
      </c>
      <c r="AB188" s="22">
        <v>23.071999999999999</v>
      </c>
      <c r="AC188" s="16">
        <f t="shared" si="3"/>
        <v>-10.649140337325271</v>
      </c>
      <c r="AD188" s="8"/>
      <c r="AE188" s="8"/>
      <c r="AF188" s="12"/>
      <c r="AG188" s="12"/>
      <c r="AH188" s="12"/>
      <c r="AI188" s="12"/>
      <c r="AJ188" s="12"/>
      <c r="AK188" s="7"/>
      <c r="AL188" s="7"/>
      <c r="AM188" s="7"/>
      <c r="AN188" s="7"/>
      <c r="AO188" s="7"/>
      <c r="AP188" s="7"/>
      <c r="AQ188" s="7"/>
      <c r="AR188" s="7"/>
      <c r="AS188" s="7"/>
      <c r="AT188" s="7"/>
      <c r="AU188" s="7"/>
      <c r="AV188" s="7"/>
      <c r="AW188" s="7"/>
      <c r="AX188" s="7"/>
      <c r="AY188" s="7"/>
      <c r="AZ188" s="7"/>
      <c r="BA188" s="7"/>
      <c r="BB188" s="7"/>
      <c r="BC188" s="7"/>
    </row>
    <row r="189" spans="1:55" s="10" customFormat="1" x14ac:dyDescent="0.35">
      <c r="A189" s="12" t="s">
        <v>13</v>
      </c>
      <c r="B189" s="12">
        <v>9</v>
      </c>
      <c r="C189" s="13">
        <v>2003</v>
      </c>
      <c r="D189" s="16">
        <v>6.9449739822122325</v>
      </c>
      <c r="E189" s="16">
        <v>3.691827653329355</v>
      </c>
      <c r="F189" s="21">
        <v>17.161000000000001</v>
      </c>
      <c r="G189" s="15">
        <v>159.458</v>
      </c>
      <c r="H189" s="22">
        <v>-5.3140000000000001</v>
      </c>
      <c r="I189" s="16">
        <v>8.1675059999999995</v>
      </c>
      <c r="J189" s="16">
        <v>5.8506164298898566</v>
      </c>
      <c r="K189" s="16">
        <v>19.525341474206744</v>
      </c>
      <c r="L189" s="16">
        <v>40.571033333333297</v>
      </c>
      <c r="M189" s="16">
        <v>21.95</v>
      </c>
      <c r="N189" s="16">
        <v>18.621033333333298</v>
      </c>
      <c r="O189" s="16">
        <v>5.8177190000000003</v>
      </c>
      <c r="P189" s="16">
        <f>P190/1.04</f>
        <v>49.889687167615705</v>
      </c>
      <c r="Q189" s="16">
        <v>-0.14111070000000001</v>
      </c>
      <c r="R189" s="16">
        <v>-1.287814</v>
      </c>
      <c r="S189" s="16">
        <f t="shared" si="4"/>
        <v>13.205041392102085</v>
      </c>
      <c r="T189" s="16">
        <v>59.961539999999999</v>
      </c>
      <c r="U189" s="16">
        <f t="shared" si="5"/>
        <v>22.335154326291782</v>
      </c>
      <c r="V189" s="16">
        <v>30.451470234742551</v>
      </c>
      <c r="W189" s="16">
        <v>-13.529966837353861</v>
      </c>
      <c r="X189" s="16">
        <v>4.6454800000000001</v>
      </c>
      <c r="Y189" s="16">
        <v>25.683964030842677</v>
      </c>
      <c r="Z189" s="16">
        <v>36.628880644920208</v>
      </c>
      <c r="AA189" s="16">
        <v>14.859519879140818</v>
      </c>
      <c r="AB189" s="22">
        <v>21.998999999999999</v>
      </c>
      <c r="AC189" s="16">
        <f t="shared" si="3"/>
        <v>-10.944916614077531</v>
      </c>
      <c r="AD189" s="8"/>
      <c r="AE189" s="8"/>
      <c r="AF189" s="12"/>
      <c r="AG189" s="12"/>
      <c r="AH189" s="12"/>
      <c r="AI189" s="12"/>
      <c r="AJ189" s="12"/>
      <c r="AK189" s="7"/>
      <c r="AL189" s="7"/>
      <c r="AM189" s="7"/>
      <c r="AN189" s="7"/>
      <c r="AO189" s="7"/>
      <c r="AP189" s="7"/>
      <c r="AQ189" s="7"/>
      <c r="AR189" s="7"/>
      <c r="AS189" s="7"/>
      <c r="AT189" s="7"/>
      <c r="AU189" s="7"/>
      <c r="AV189" s="7"/>
      <c r="AW189" s="7"/>
      <c r="AX189" s="7"/>
      <c r="AY189" s="7"/>
      <c r="AZ189" s="7"/>
      <c r="BA189" s="7"/>
      <c r="BB189" s="7"/>
      <c r="BC189" s="7"/>
    </row>
    <row r="190" spans="1:55" s="10" customFormat="1" x14ac:dyDescent="0.35">
      <c r="A190" s="12" t="s">
        <v>13</v>
      </c>
      <c r="B190" s="12">
        <v>9</v>
      </c>
      <c r="C190" s="13">
        <v>2004</v>
      </c>
      <c r="D190" s="16">
        <v>7.032395115152184</v>
      </c>
      <c r="E190" s="16">
        <v>3.6834162537273016</v>
      </c>
      <c r="F190" s="21">
        <v>17.501999999999999</v>
      </c>
      <c r="G190" s="15">
        <v>129.91399999999999</v>
      </c>
      <c r="H190" s="22">
        <v>-2.508</v>
      </c>
      <c r="I190" s="16">
        <v>6.5206</v>
      </c>
      <c r="J190" s="16">
        <v>6.9312830816015882</v>
      </c>
      <c r="K190" s="16">
        <v>9.1969336469093381</v>
      </c>
      <c r="L190" s="16">
        <v>30.7271</v>
      </c>
      <c r="M190" s="16">
        <v>11.510227272727301</v>
      </c>
      <c r="N190" s="16">
        <v>19.216872727272701</v>
      </c>
      <c r="O190" s="16">
        <v>8.2474860000000003</v>
      </c>
      <c r="P190" s="16">
        <f>P191/1.04</f>
        <v>51.885274654320334</v>
      </c>
      <c r="Q190" s="16">
        <v>1.1126959999999999</v>
      </c>
      <c r="R190" s="16">
        <v>11.1531</v>
      </c>
      <c r="S190" s="16">
        <f t="shared" si="4"/>
        <v>13.601192633865148</v>
      </c>
      <c r="T190" s="16">
        <v>53.467410000000001</v>
      </c>
      <c r="U190" s="16">
        <f t="shared" si="5"/>
        <v>21.665099696503027</v>
      </c>
      <c r="V190" s="16">
        <v>29.487956800968846</v>
      </c>
      <c r="W190" s="16">
        <v>-7.148788886135625</v>
      </c>
      <c r="X190" s="16">
        <v>4.7713099999999997</v>
      </c>
      <c r="Y190" s="16">
        <v>33.53998225107194</v>
      </c>
      <c r="Z190" s="16">
        <v>37.273092680700216</v>
      </c>
      <c r="AA190" s="16">
        <v>15.317058633854305</v>
      </c>
      <c r="AB190" s="22">
        <v>20.763999999999999</v>
      </c>
      <c r="AC190" s="16">
        <f t="shared" si="3"/>
        <v>-3.733110429628276</v>
      </c>
      <c r="AD190" s="8"/>
      <c r="AE190" s="8"/>
      <c r="AF190" s="12"/>
      <c r="AG190" s="12"/>
      <c r="AH190" s="12"/>
      <c r="AI190" s="12"/>
      <c r="AJ190" s="12"/>
      <c r="AK190" s="7"/>
      <c r="AL190" s="7"/>
      <c r="AM190" s="7"/>
      <c r="AN190" s="7"/>
      <c r="AO190" s="7"/>
      <c r="AP190" s="7"/>
      <c r="AQ190" s="7"/>
      <c r="AR190" s="7"/>
      <c r="AS190" s="7"/>
      <c r="AT190" s="7"/>
      <c r="AU190" s="7"/>
      <c r="AV190" s="7"/>
      <c r="AW190" s="7"/>
      <c r="AX190" s="7"/>
      <c r="AY190" s="7"/>
      <c r="AZ190" s="7"/>
      <c r="BA190" s="7"/>
      <c r="BB190" s="7"/>
      <c r="BC190" s="7"/>
    </row>
    <row r="191" spans="1:55" s="10" customFormat="1" x14ac:dyDescent="0.35">
      <c r="A191" s="12" t="s">
        <v>13</v>
      </c>
      <c r="B191" s="12">
        <v>9</v>
      </c>
      <c r="C191" s="13">
        <v>2005</v>
      </c>
      <c r="D191" s="16">
        <v>7.2355990065554323</v>
      </c>
      <c r="E191" s="16">
        <v>3.7414316900494811</v>
      </c>
      <c r="F191" s="21">
        <v>15.851000000000001</v>
      </c>
      <c r="G191" s="15">
        <v>75.73</v>
      </c>
      <c r="H191" s="22">
        <v>-2.3719999999999999</v>
      </c>
      <c r="I191" s="16">
        <v>6.0201669999999998</v>
      </c>
      <c r="J191" s="16">
        <v>6.5290014040327859</v>
      </c>
      <c r="K191" s="16">
        <v>9.9090851842927332</v>
      </c>
      <c r="L191" s="16">
        <v>28.2091666666667</v>
      </c>
      <c r="M191" s="16">
        <v>11.189166666666701</v>
      </c>
      <c r="N191" s="16">
        <v>17.02</v>
      </c>
      <c r="O191" s="16">
        <v>12.031840000000001</v>
      </c>
      <c r="P191" s="16">
        <f>P192/1.04</f>
        <v>53.960685640493146</v>
      </c>
      <c r="Q191" s="16">
        <v>2.383813</v>
      </c>
      <c r="R191" s="16">
        <v>22.32028</v>
      </c>
      <c r="S191" s="16">
        <f t="shared" si="4"/>
        <v>14.009228412881102</v>
      </c>
      <c r="T191" s="16">
        <v>57.335099999999997</v>
      </c>
      <c r="U191" s="16">
        <f t="shared" si="5"/>
        <v>21.015146705607936</v>
      </c>
      <c r="V191" s="16">
        <v>39.327075191762972</v>
      </c>
      <c r="W191" s="16">
        <v>-2.7849841486108722</v>
      </c>
      <c r="X191" s="16">
        <v>3.51</v>
      </c>
      <c r="Y191" s="16">
        <v>30.610712314381267</v>
      </c>
      <c r="Z191" s="16">
        <v>31.589569876982772</v>
      </c>
      <c r="AA191" s="16">
        <v>14.794768597768135</v>
      </c>
      <c r="AB191" s="22">
        <v>20.079000000000001</v>
      </c>
      <c r="AC191" s="16">
        <f t="shared" si="3"/>
        <v>-0.97885756260150458</v>
      </c>
      <c r="AD191" s="8"/>
      <c r="AE191" s="8"/>
      <c r="AF191" s="12"/>
      <c r="AG191" s="12"/>
      <c r="AH191" s="12"/>
      <c r="AI191" s="12"/>
      <c r="AJ191" s="12"/>
      <c r="AK191" s="7"/>
      <c r="AL191" s="7"/>
      <c r="AM191" s="7"/>
      <c r="AN191" s="7"/>
      <c r="AO191" s="7"/>
      <c r="AP191" s="7"/>
      <c r="AQ191" s="7"/>
      <c r="AR191" s="7"/>
      <c r="AS191" s="7"/>
      <c r="AT191" s="7"/>
      <c r="AU191" s="7"/>
      <c r="AV191" s="7"/>
      <c r="AW191" s="7"/>
      <c r="AX191" s="7"/>
      <c r="AY191" s="7"/>
      <c r="AZ191" s="7"/>
      <c r="BA191" s="7"/>
      <c r="BB191" s="7"/>
      <c r="BC191" s="7"/>
    </row>
    <row r="192" spans="1:55" s="10" customFormat="1" x14ac:dyDescent="0.35">
      <c r="A192" s="12" t="s">
        <v>13</v>
      </c>
      <c r="B192" s="12">
        <v>9</v>
      </c>
      <c r="C192" s="13">
        <v>2006</v>
      </c>
      <c r="D192" s="16">
        <v>7.9036944448007915</v>
      </c>
      <c r="E192" s="16">
        <v>4.2379998185570429</v>
      </c>
      <c r="F192" s="21">
        <v>8.2390000000000008</v>
      </c>
      <c r="G192" s="15">
        <v>24.998999999999999</v>
      </c>
      <c r="H192" s="22">
        <v>16.913</v>
      </c>
      <c r="I192" s="16">
        <v>5.5319390000000004</v>
      </c>
      <c r="J192" s="16">
        <v>8.0804190505426039</v>
      </c>
      <c r="K192" s="16">
        <v>7.5178202420552367</v>
      </c>
      <c r="L192" s="16">
        <v>23.1533333333333</v>
      </c>
      <c r="M192" s="16">
        <v>10.324999999999999</v>
      </c>
      <c r="N192" s="16">
        <v>12.828333333333301</v>
      </c>
      <c r="O192" s="16">
        <v>6.9968190000000003</v>
      </c>
      <c r="P192" s="16">
        <f>P193/1.04</f>
        <v>56.119113066112874</v>
      </c>
      <c r="Q192" s="16">
        <v>1.704666</v>
      </c>
      <c r="R192" s="16">
        <v>15.246560000000001</v>
      </c>
      <c r="S192" s="16">
        <f t="shared" si="4"/>
        <v>14.429505265267535</v>
      </c>
      <c r="T192" s="16">
        <v>53.71069</v>
      </c>
      <c r="U192" s="16">
        <f>U193/0.93</f>
        <v>20.384692304439696</v>
      </c>
      <c r="V192" s="16">
        <v>38.62330549843572</v>
      </c>
      <c r="W192" s="16">
        <v>4.6447450622962894</v>
      </c>
      <c r="X192" s="16">
        <v>4.41</v>
      </c>
      <c r="Y192" s="16">
        <v>32.592958687188769</v>
      </c>
      <c r="Z192" s="16">
        <v>25.263860186713892</v>
      </c>
      <c r="AA192" s="16">
        <v>13.711529295591527</v>
      </c>
      <c r="AB192" s="22">
        <v>36.603999999999999</v>
      </c>
      <c r="AC192" s="16">
        <f t="shared" si="3"/>
        <v>7.3290985004748777</v>
      </c>
      <c r="AD192" s="8"/>
      <c r="AE192" s="8"/>
      <c r="AF192" s="12"/>
      <c r="AG192" s="12"/>
      <c r="AH192" s="12"/>
      <c r="AI192" s="12"/>
      <c r="AJ192" s="12"/>
      <c r="AK192" s="7"/>
      <c r="AL192" s="7"/>
      <c r="AM192" s="7"/>
      <c r="AN192" s="7"/>
      <c r="AO192" s="7"/>
      <c r="AP192" s="7"/>
      <c r="AQ192" s="7"/>
      <c r="AR192" s="7"/>
      <c r="AS192" s="7"/>
      <c r="AT192" s="7"/>
      <c r="AU192" s="7"/>
      <c r="AV192" s="7"/>
      <c r="AW192" s="7"/>
      <c r="AX192" s="7"/>
      <c r="AY192" s="7"/>
      <c r="AZ192" s="7"/>
      <c r="BA192" s="7"/>
      <c r="BB192" s="7"/>
      <c r="BC192" s="7"/>
    </row>
    <row r="193" spans="1:55" s="10" customFormat="1" x14ac:dyDescent="0.35">
      <c r="A193" s="12" t="s">
        <v>13</v>
      </c>
      <c r="B193" s="12">
        <v>9</v>
      </c>
      <c r="C193" s="13">
        <v>2007</v>
      </c>
      <c r="D193" s="16">
        <v>8.3524362444740632</v>
      </c>
      <c r="E193" s="16">
        <v>4.5912606798838738</v>
      </c>
      <c r="F193" s="21">
        <v>8.9329999999999998</v>
      </c>
      <c r="G193" s="15">
        <v>21.931999999999999</v>
      </c>
      <c r="H193" s="22">
        <v>-1.0369999999999999</v>
      </c>
      <c r="I193" s="16">
        <v>5.4614079999999996</v>
      </c>
      <c r="J193" s="16">
        <v>9.6248093873522791</v>
      </c>
      <c r="K193" s="16">
        <v>5.240870634219009</v>
      </c>
      <c r="L193" s="16">
        <v>18.890833333333301</v>
      </c>
      <c r="M193" s="16">
        <v>9.2166666666666703</v>
      </c>
      <c r="N193" s="16">
        <v>9.6741666666666308</v>
      </c>
      <c r="O193" s="16">
        <v>8.5977189999999997</v>
      </c>
      <c r="P193" s="16">
        <f>P194/1.04</f>
        <v>58.36387758875739</v>
      </c>
      <c r="Q193" s="16">
        <v>1.967503</v>
      </c>
      <c r="R193" s="16">
        <v>18.038150000000002</v>
      </c>
      <c r="S193" s="16">
        <f t="shared" si="4"/>
        <v>14.862390423225561</v>
      </c>
      <c r="T193" s="16">
        <v>53.27328</v>
      </c>
      <c r="U193" s="16">
        <f>U194/0.97</f>
        <v>18.957763843128919</v>
      </c>
      <c r="V193" s="16">
        <v>28.017092029065633</v>
      </c>
      <c r="W193" s="16">
        <v>-1.238020399263448</v>
      </c>
      <c r="X193" s="16">
        <v>3.84</v>
      </c>
      <c r="Y193" s="16">
        <v>33.59119320501334</v>
      </c>
      <c r="Z193" s="16">
        <v>32.180265485893443</v>
      </c>
      <c r="AA193" s="16">
        <v>14.082514581153241</v>
      </c>
      <c r="AB193" s="22">
        <v>18.885999999999999</v>
      </c>
      <c r="AC193" s="16">
        <f t="shared" si="3"/>
        <v>1.410927719119897</v>
      </c>
      <c r="AD193" s="8"/>
      <c r="AE193" s="8"/>
      <c r="AF193" s="12"/>
      <c r="AG193" s="12"/>
      <c r="AH193" s="12"/>
      <c r="AI193" s="12"/>
      <c r="AJ193" s="12"/>
      <c r="AK193" s="7"/>
      <c r="AL193" s="7"/>
      <c r="AM193" s="7"/>
      <c r="AN193" s="7"/>
      <c r="AO193" s="7"/>
      <c r="AP193" s="7"/>
      <c r="AQ193" s="7"/>
      <c r="AR193" s="7"/>
      <c r="AS193" s="7"/>
      <c r="AT193" s="7"/>
      <c r="AU193" s="7"/>
      <c r="AV193" s="7"/>
      <c r="AW193" s="7"/>
      <c r="AX193" s="7"/>
      <c r="AY193" s="7"/>
      <c r="AZ193" s="7"/>
      <c r="BA193" s="7"/>
      <c r="BB193" s="7"/>
      <c r="BC193" s="7"/>
    </row>
    <row r="194" spans="1:55" s="10" customFormat="1" x14ac:dyDescent="0.35">
      <c r="A194" s="12" t="s">
        <v>13</v>
      </c>
      <c r="B194" s="12">
        <v>9</v>
      </c>
      <c r="C194" s="13">
        <v>2008</v>
      </c>
      <c r="D194" s="16">
        <v>7.7738958154236286</v>
      </c>
      <c r="E194" s="16">
        <v>3.993095710148026</v>
      </c>
      <c r="F194" s="21">
        <v>16.559999999999999</v>
      </c>
      <c r="G194" s="15">
        <v>19.196000000000002</v>
      </c>
      <c r="H194" s="22">
        <v>-0.66800000000000004</v>
      </c>
      <c r="I194" s="16">
        <v>3.9775179999999999</v>
      </c>
      <c r="J194" s="16">
        <v>12.173305766615369</v>
      </c>
      <c r="K194" s="16">
        <v>7.6137953811700818</v>
      </c>
      <c r="L194" s="16">
        <v>19.064166666666701</v>
      </c>
      <c r="M194" s="16">
        <v>6.5508333333333297</v>
      </c>
      <c r="N194" s="16">
        <v>12.513333333333371</v>
      </c>
      <c r="O194" s="16">
        <v>9.8680190000000003</v>
      </c>
      <c r="P194" s="16">
        <f>P195/1.04</f>
        <v>60.698432692307691</v>
      </c>
      <c r="Q194" s="16">
        <v>1.962164</v>
      </c>
      <c r="R194" s="16">
        <v>18.330469999999998</v>
      </c>
      <c r="S194" s="16">
        <f t="shared" si="4"/>
        <v>15.308262135922329</v>
      </c>
      <c r="T194" s="16">
        <v>39.993189999999998</v>
      </c>
      <c r="U194" s="16">
        <f>U195/0.97</f>
        <v>18.389030927835051</v>
      </c>
      <c r="V194" s="16">
        <v>27.833076767660142</v>
      </c>
      <c r="W194" s="16">
        <v>-3.3305790530012156</v>
      </c>
      <c r="X194" s="16">
        <v>4.83</v>
      </c>
      <c r="Y194" s="16">
        <v>28.91935970525661</v>
      </c>
      <c r="Z194" s="16">
        <v>30.535529415330835</v>
      </c>
      <c r="AA194" s="16">
        <v>13.259303782646375</v>
      </c>
      <c r="AB194" s="16">
        <v>18.79</v>
      </c>
      <c r="AC194" s="16">
        <f t="shared" si="3"/>
        <v>-1.6161697100742245</v>
      </c>
      <c r="AD194" s="8"/>
      <c r="AE194" s="8"/>
      <c r="AF194" s="12"/>
      <c r="AG194" s="12"/>
      <c r="AH194" s="12"/>
      <c r="AI194" s="12"/>
      <c r="AJ194" s="12"/>
      <c r="AK194" s="7"/>
      <c r="AL194" s="7"/>
      <c r="AM194" s="7"/>
      <c r="AN194" s="7"/>
      <c r="AO194" s="7"/>
      <c r="AP194" s="7"/>
      <c r="AQ194" s="7"/>
      <c r="AR194" s="7"/>
      <c r="AS194" s="7"/>
      <c r="AT194" s="7"/>
      <c r="AU194" s="7"/>
      <c r="AV194" s="7"/>
      <c r="AW194" s="7"/>
      <c r="AX194" s="7"/>
      <c r="AY194" s="7"/>
      <c r="AZ194" s="7"/>
      <c r="BA194" s="7"/>
      <c r="BB194" s="7"/>
      <c r="BC194" s="7"/>
    </row>
    <row r="195" spans="1:55" s="10" customFormat="1" x14ac:dyDescent="0.35">
      <c r="A195" s="12" t="s">
        <v>13</v>
      </c>
      <c r="B195" s="12">
        <v>9</v>
      </c>
      <c r="C195" s="13">
        <v>2009</v>
      </c>
      <c r="D195" s="16">
        <v>9.2203484058663037</v>
      </c>
      <c r="E195" s="16">
        <v>5.40593589520428</v>
      </c>
      <c r="F195" s="21">
        <v>9.9</v>
      </c>
      <c r="G195" s="15">
        <v>20.521999999999998</v>
      </c>
      <c r="H195" s="22">
        <v>-2.0569999999999999</v>
      </c>
      <c r="I195" s="16">
        <v>5.7798809999999996</v>
      </c>
      <c r="J195" s="16">
        <v>9.9534573599442897</v>
      </c>
      <c r="K195" s="16">
        <v>15.633633461981391</v>
      </c>
      <c r="L195" s="16">
        <v>22.0625</v>
      </c>
      <c r="M195" s="16">
        <v>7.09</v>
      </c>
      <c r="N195" s="16">
        <v>14.9725</v>
      </c>
      <c r="O195" s="16">
        <v>10.76656</v>
      </c>
      <c r="P195" s="16">
        <v>63.126370000000001</v>
      </c>
      <c r="Q195" s="16">
        <v>0.55474020000000002</v>
      </c>
      <c r="R195" s="16">
        <v>5.004632</v>
      </c>
      <c r="S195" s="16">
        <v>15.76751</v>
      </c>
      <c r="T195" s="16">
        <v>42.812159999999999</v>
      </c>
      <c r="U195" s="16">
        <v>17.83736</v>
      </c>
      <c r="V195" s="16">
        <v>29.212582112578744</v>
      </c>
      <c r="W195" s="16">
        <v>5.9534281847956212</v>
      </c>
      <c r="X195" s="16">
        <v>4.6399999999999997</v>
      </c>
      <c r="Y195" s="16">
        <v>29.250997669334843</v>
      </c>
      <c r="Z195" s="16">
        <v>26.870383286181649</v>
      </c>
      <c r="AA195" s="16">
        <v>11.687515825698675</v>
      </c>
      <c r="AB195" s="16">
        <v>15.75</v>
      </c>
      <c r="AC195" s="16">
        <f t="shared" ref="AC195:AC208" si="6">Y195-Z195</f>
        <v>2.3806143831531941</v>
      </c>
      <c r="AD195" s="8"/>
      <c r="AE195" s="8"/>
      <c r="AF195" s="12"/>
      <c r="AG195" s="12"/>
      <c r="AH195" s="12"/>
      <c r="AI195" s="12"/>
      <c r="AJ195" s="12"/>
      <c r="AK195" s="7"/>
      <c r="AL195" s="7"/>
      <c r="AM195" s="7"/>
      <c r="AN195" s="7"/>
      <c r="AO195" s="7"/>
      <c r="AP195" s="7"/>
      <c r="AQ195" s="7"/>
      <c r="AR195" s="7"/>
      <c r="AS195" s="7"/>
      <c r="AT195" s="7"/>
      <c r="AU195" s="7"/>
      <c r="AV195" s="7"/>
      <c r="AW195" s="7"/>
      <c r="AX195" s="7"/>
      <c r="AY195" s="7"/>
      <c r="AZ195" s="7"/>
      <c r="BA195" s="7"/>
      <c r="BB195" s="7"/>
      <c r="BC195" s="7"/>
    </row>
    <row r="196" spans="1:55" s="10" customFormat="1" x14ac:dyDescent="0.35">
      <c r="A196" s="12" t="s">
        <v>13</v>
      </c>
      <c r="B196" s="12">
        <v>9</v>
      </c>
      <c r="C196" s="13">
        <v>2010</v>
      </c>
      <c r="D196" s="16">
        <v>10.298223324121267</v>
      </c>
      <c r="E196" s="16">
        <v>6.5075532574315531</v>
      </c>
      <c r="F196" s="21">
        <v>7.9</v>
      </c>
      <c r="G196" s="15">
        <v>18.891999999999999</v>
      </c>
      <c r="H196" s="22">
        <v>-2.4319999999999999</v>
      </c>
      <c r="I196" s="16">
        <v>5.2155820000000004</v>
      </c>
      <c r="J196" s="16">
        <v>9.1480197634366647</v>
      </c>
      <c r="K196" s="16">
        <v>6.1129422116953123</v>
      </c>
      <c r="L196" s="16">
        <v>20.9166666666667</v>
      </c>
      <c r="M196" s="16">
        <v>7.4</v>
      </c>
      <c r="N196" s="16">
        <v>13.516666666666699</v>
      </c>
      <c r="O196" s="16">
        <v>9.8523239999999994</v>
      </c>
      <c r="P196" s="16">
        <v>56.766829999999999</v>
      </c>
      <c r="Q196" s="16">
        <v>1.494075</v>
      </c>
      <c r="R196" s="16">
        <v>14.593629999999999</v>
      </c>
      <c r="S196" s="16">
        <v>16.115079999999999</v>
      </c>
      <c r="T196" s="16">
        <v>42.237139999999997</v>
      </c>
      <c r="U196" s="16">
        <v>18.42963</v>
      </c>
      <c r="V196" s="16">
        <v>38.853721699475024</v>
      </c>
      <c r="W196" s="16">
        <v>7.5254914765209096</v>
      </c>
      <c r="X196" s="16">
        <v>4.8</v>
      </c>
      <c r="Y196" s="16">
        <v>37.02593330721237</v>
      </c>
      <c r="Z196" s="16">
        <v>30.874985722759547</v>
      </c>
      <c r="AA196" s="16">
        <v>12.834842405292004</v>
      </c>
      <c r="AB196" s="16">
        <v>15.634</v>
      </c>
      <c r="AC196" s="16">
        <f t="shared" si="6"/>
        <v>6.1509475844528225</v>
      </c>
      <c r="AD196" s="8"/>
      <c r="AE196" s="8"/>
      <c r="AF196" s="12"/>
      <c r="AG196" s="12"/>
      <c r="AH196" s="12"/>
      <c r="AI196" s="12"/>
      <c r="AJ196" s="12"/>
      <c r="AK196" s="7"/>
      <c r="AL196" s="7"/>
      <c r="AM196" s="7"/>
      <c r="AN196" s="7"/>
      <c r="AO196" s="7"/>
      <c r="AP196" s="7"/>
      <c r="AQ196" s="7"/>
      <c r="AR196" s="7"/>
      <c r="AS196" s="7"/>
      <c r="AT196" s="7"/>
      <c r="AU196" s="7"/>
      <c r="AV196" s="7"/>
      <c r="AW196" s="7"/>
      <c r="AX196" s="7"/>
      <c r="AY196" s="7"/>
      <c r="AZ196" s="7"/>
      <c r="BA196" s="7"/>
      <c r="BB196" s="7"/>
      <c r="BC196" s="7"/>
    </row>
    <row r="197" spans="1:55" s="10" customFormat="1" x14ac:dyDescent="0.35">
      <c r="A197" s="12" t="s">
        <v>13</v>
      </c>
      <c r="B197" s="12">
        <v>9</v>
      </c>
      <c r="C197" s="13">
        <v>2011</v>
      </c>
      <c r="D197" s="16">
        <v>5.564602336707523</v>
      </c>
      <c r="E197" s="16">
        <v>2.0590955401262931</v>
      </c>
      <c r="F197" s="21">
        <v>7.2</v>
      </c>
      <c r="G197" s="15">
        <v>20.803000000000001</v>
      </c>
      <c r="H197" s="22">
        <v>-1.7829999999999999</v>
      </c>
      <c r="I197" s="16">
        <v>6.8524370000000001</v>
      </c>
      <c r="J197" s="16">
        <v>10.011968788920568</v>
      </c>
      <c r="K197" s="16">
        <v>6.9518486159574353</v>
      </c>
      <c r="L197" s="16">
        <v>18.836666666666702</v>
      </c>
      <c r="M197" s="16">
        <v>7.0241666666666696</v>
      </c>
      <c r="N197" s="16">
        <v>11.812500000000032</v>
      </c>
      <c r="O197" s="16">
        <v>8.4945360000000001</v>
      </c>
      <c r="P197" s="16">
        <v>60.10277</v>
      </c>
      <c r="Q197" s="16">
        <v>1.902795</v>
      </c>
      <c r="R197" s="16">
        <v>18.719539999999999</v>
      </c>
      <c r="S197" s="16">
        <v>16.65804</v>
      </c>
      <c r="T197" s="16">
        <v>37.892719999999997</v>
      </c>
      <c r="U197" s="16">
        <v>16.219830000000002</v>
      </c>
      <c r="V197" s="16">
        <v>17.151870252919526</v>
      </c>
      <c r="W197" s="16">
        <v>4.65823655766585</v>
      </c>
      <c r="X197" s="16">
        <v>5.12</v>
      </c>
      <c r="Y197" s="16">
        <v>40.471222673292075</v>
      </c>
      <c r="Z197" s="16">
        <v>35.743505585418013</v>
      </c>
      <c r="AA197" s="16">
        <v>14.715943318395707</v>
      </c>
      <c r="AB197" s="16">
        <v>17.742999999999999</v>
      </c>
      <c r="AC197" s="16">
        <f t="shared" si="6"/>
        <v>4.727717087874062</v>
      </c>
      <c r="AD197" s="8"/>
      <c r="AE197" s="8"/>
      <c r="AF197" s="12"/>
      <c r="AG197" s="12"/>
      <c r="AH197" s="12"/>
      <c r="AI197" s="12"/>
      <c r="AJ197" s="12"/>
      <c r="AK197" s="7"/>
      <c r="AL197" s="7"/>
      <c r="AM197" s="7"/>
      <c r="AN197" s="7"/>
      <c r="AO197" s="7"/>
      <c r="AP197" s="7"/>
      <c r="AQ197" s="7"/>
      <c r="AR197" s="7"/>
      <c r="AS197" s="7"/>
      <c r="AT197" s="7"/>
      <c r="AU197" s="7"/>
      <c r="AV197" s="7"/>
      <c r="AW197" s="7"/>
      <c r="AX197" s="7"/>
      <c r="AY197" s="7"/>
      <c r="AZ197" s="7"/>
      <c r="BA197" s="7"/>
      <c r="BB197" s="7"/>
      <c r="BC197" s="7"/>
    </row>
    <row r="198" spans="1:55" s="10" customFormat="1" x14ac:dyDescent="0.35">
      <c r="A198" s="12" t="s">
        <v>13</v>
      </c>
      <c r="B198" s="12">
        <v>9</v>
      </c>
      <c r="C198" s="13">
        <v>2012</v>
      </c>
      <c r="D198" s="16">
        <v>7.5975932105319117</v>
      </c>
      <c r="E198" s="16">
        <v>4.1032794106930623</v>
      </c>
      <c r="F198" s="21">
        <v>7.3280000000000003</v>
      </c>
      <c r="G198" s="15">
        <v>25.423999999999999</v>
      </c>
      <c r="H198" s="22">
        <v>-2.8319999999999999</v>
      </c>
      <c r="I198" s="16">
        <v>6.8100579999999997</v>
      </c>
      <c r="J198" s="16">
        <v>11.933306102240408</v>
      </c>
      <c r="K198" s="16">
        <v>4.8216841139089235</v>
      </c>
      <c r="L198" s="16">
        <v>12.150833333333299</v>
      </c>
      <c r="M198" s="16">
        <v>7</v>
      </c>
      <c r="N198" s="16">
        <v>5.1508333333332992</v>
      </c>
      <c r="O198" s="16">
        <v>8.7759699999999992</v>
      </c>
      <c r="P198" s="16">
        <v>69.121489999999994</v>
      </c>
      <c r="Q198" s="16">
        <v>2.1948569999999998</v>
      </c>
      <c r="R198" s="16">
        <v>18.686430000000001</v>
      </c>
      <c r="S198" s="16">
        <v>17.264240000000001</v>
      </c>
      <c r="T198" s="16">
        <v>33.632040000000003</v>
      </c>
      <c r="U198" s="16">
        <v>16.069310000000002</v>
      </c>
      <c r="V198" s="16">
        <v>25.933915469689804</v>
      </c>
      <c r="W198" s="16">
        <v>5.3789848615603528</v>
      </c>
      <c r="X198" s="16">
        <v>5.15</v>
      </c>
      <c r="Y198" s="16">
        <v>40.08291099435263</v>
      </c>
      <c r="Z198" s="16">
        <v>39.01779350225295</v>
      </c>
      <c r="AA198" s="16">
        <v>14.892364297402139</v>
      </c>
      <c r="AB198" s="16">
        <v>18.693999999999999</v>
      </c>
      <c r="AC198" s="16">
        <f t="shared" si="6"/>
        <v>1.0651174920996809</v>
      </c>
      <c r="AD198" s="8"/>
      <c r="AE198" s="8"/>
      <c r="AF198" s="12"/>
      <c r="AG198" s="12"/>
      <c r="AH198" s="12"/>
      <c r="AI198" s="12"/>
      <c r="AJ198" s="12"/>
      <c r="AK198" s="7"/>
      <c r="AL198" s="7"/>
      <c r="AM198" s="7"/>
      <c r="AN198" s="7"/>
      <c r="AO198" s="7"/>
      <c r="AP198" s="7"/>
      <c r="AQ198" s="7"/>
      <c r="AR198" s="7"/>
      <c r="AS198" s="7"/>
      <c r="AT198" s="7"/>
      <c r="AU198" s="7"/>
      <c r="AV198" s="7"/>
      <c r="AW198" s="7"/>
      <c r="AX198" s="7"/>
      <c r="AY198" s="7"/>
      <c r="AZ198" s="7"/>
      <c r="BA198" s="7"/>
      <c r="BB198" s="7"/>
      <c r="BC198" s="7"/>
    </row>
    <row r="199" spans="1:55" s="10" customFormat="1" x14ac:dyDescent="0.35">
      <c r="A199" s="12" t="s">
        <v>13</v>
      </c>
      <c r="B199" s="12">
        <v>9</v>
      </c>
      <c r="C199" s="13">
        <v>2013</v>
      </c>
      <c r="D199" s="16">
        <v>5.057231739797345</v>
      </c>
      <c r="E199" s="16">
        <v>1.6761006010155342</v>
      </c>
      <c r="F199" s="21">
        <v>7.14</v>
      </c>
      <c r="G199" s="15">
        <v>27.088000000000001</v>
      </c>
      <c r="H199" s="22">
        <v>-6.1509999999999998</v>
      </c>
      <c r="I199" s="16">
        <v>7.7883230000000001</v>
      </c>
      <c r="J199" s="16">
        <v>11.641733984420375</v>
      </c>
      <c r="K199" s="16">
        <v>-0.19171999969303988</v>
      </c>
      <c r="L199" s="16">
        <v>9.5208333333333304</v>
      </c>
      <c r="M199" s="16">
        <v>6.4908333333333301</v>
      </c>
      <c r="N199" s="16">
        <v>3.0300000000000002</v>
      </c>
      <c r="O199" s="16">
        <v>8.7706879999999998</v>
      </c>
      <c r="P199" s="16">
        <v>63.888379999999998</v>
      </c>
      <c r="Q199" s="16">
        <v>2.463848</v>
      </c>
      <c r="R199" s="16">
        <v>18.168310000000002</v>
      </c>
      <c r="S199" s="16">
        <v>18.221990000000002</v>
      </c>
      <c r="T199" s="16">
        <v>31.556339999999999</v>
      </c>
      <c r="U199" s="16">
        <v>17.357430000000001</v>
      </c>
      <c r="V199" s="16">
        <v>28.437686482474223</v>
      </c>
      <c r="W199" s="16">
        <v>-0.57595575052511716</v>
      </c>
      <c r="X199" s="16">
        <v>5.51</v>
      </c>
      <c r="Y199" s="16">
        <v>40.482716693869733</v>
      </c>
      <c r="Z199" s="16">
        <v>39.973303553138486</v>
      </c>
      <c r="AA199" s="16">
        <v>14.347109316663472</v>
      </c>
      <c r="AB199" s="16">
        <v>17.629000000000001</v>
      </c>
      <c r="AC199" s="16">
        <f t="shared" si="6"/>
        <v>0.50941314073124744</v>
      </c>
      <c r="AD199" s="8"/>
      <c r="AE199" s="8"/>
      <c r="AF199" s="12"/>
      <c r="AG199" s="12"/>
      <c r="AH199" s="12"/>
      <c r="AI199" s="12"/>
      <c r="AJ199" s="12"/>
      <c r="AK199" s="7"/>
      <c r="AL199" s="7"/>
      <c r="AM199" s="7"/>
      <c r="AN199" s="7"/>
      <c r="AO199" s="7"/>
      <c r="AP199" s="7"/>
      <c r="AQ199" s="7"/>
      <c r="AR199" s="7"/>
      <c r="AS199" s="7"/>
      <c r="AT199" s="7"/>
      <c r="AU199" s="7"/>
      <c r="AV199" s="7"/>
      <c r="AW199" s="7"/>
      <c r="AX199" s="7"/>
      <c r="AY199" s="7"/>
      <c r="AZ199" s="7"/>
      <c r="BA199" s="7"/>
      <c r="BB199" s="7"/>
      <c r="BC199" s="7"/>
    </row>
    <row r="200" spans="1:55" s="10" customFormat="1" x14ac:dyDescent="0.35">
      <c r="A200" s="12" t="s">
        <v>13</v>
      </c>
      <c r="B200" s="12">
        <v>9</v>
      </c>
      <c r="C200" s="13">
        <v>2014</v>
      </c>
      <c r="D200" s="16">
        <v>4.6979923625298596</v>
      </c>
      <c r="E200" s="16">
        <v>1.3529280053007113</v>
      </c>
      <c r="F200" s="21">
        <v>7.8620000000000001</v>
      </c>
      <c r="G200" s="15">
        <v>35.601999999999997</v>
      </c>
      <c r="H200" s="22">
        <v>-5.7050000000000001</v>
      </c>
      <c r="I200" s="16">
        <v>6.8824129999999997</v>
      </c>
      <c r="J200" s="16">
        <v>13.330588228463183</v>
      </c>
      <c r="K200" s="16">
        <v>5.821127546640307</v>
      </c>
      <c r="L200" s="16">
        <v>11.5733333333333</v>
      </c>
      <c r="M200" s="16">
        <v>7.8766666666666696</v>
      </c>
      <c r="N200" s="16">
        <v>3.6966666666666308</v>
      </c>
      <c r="O200" s="16">
        <v>8.3866080000000007</v>
      </c>
      <c r="P200" s="16">
        <v>72.418719999999993</v>
      </c>
      <c r="Q200" s="16">
        <v>2.537738</v>
      </c>
      <c r="R200" s="16">
        <v>16.654070000000001</v>
      </c>
      <c r="S200" s="16">
        <v>18.40766</v>
      </c>
      <c r="T200" s="16">
        <v>29.976489999999998</v>
      </c>
      <c r="U200" s="16">
        <v>17.388480000000001</v>
      </c>
      <c r="V200" s="16">
        <v>31.9354099425275</v>
      </c>
      <c r="W200" s="16">
        <v>-1.4270939600475017</v>
      </c>
      <c r="X200" s="16">
        <v>6.39</v>
      </c>
      <c r="Y200" s="16">
        <v>38.822289931937767</v>
      </c>
      <c r="Z200" s="16">
        <v>37.371373157022028</v>
      </c>
      <c r="AA200" s="16">
        <v>15.761030331691138</v>
      </c>
      <c r="AB200" s="16">
        <v>18.895</v>
      </c>
      <c r="AC200" s="16">
        <f t="shared" si="6"/>
        <v>1.4509167749157399</v>
      </c>
      <c r="AD200" s="8"/>
      <c r="AE200" s="8"/>
      <c r="AF200" s="12"/>
      <c r="AG200" s="12"/>
      <c r="AH200" s="12"/>
      <c r="AI200" s="12"/>
      <c r="AJ200" s="12"/>
      <c r="AK200" s="7"/>
      <c r="AL200" s="7"/>
      <c r="AM200" s="7"/>
      <c r="AN200" s="7"/>
      <c r="AO200" s="7"/>
      <c r="AP200" s="7"/>
      <c r="AQ200" s="7"/>
      <c r="AR200" s="7"/>
      <c r="AS200" s="7"/>
      <c r="AT200" s="7"/>
      <c r="AU200" s="7"/>
      <c r="AV200" s="7"/>
      <c r="AW200" s="7"/>
      <c r="AX200" s="7"/>
      <c r="AY200" s="7"/>
      <c r="AZ200" s="7"/>
      <c r="BA200" s="7"/>
      <c r="BB200" s="7"/>
      <c r="BC200" s="7"/>
    </row>
    <row r="201" spans="1:55" s="10" customFormat="1" x14ac:dyDescent="0.35">
      <c r="A201" s="12" t="s">
        <v>13</v>
      </c>
      <c r="B201" s="12">
        <v>9</v>
      </c>
      <c r="C201" s="13">
        <v>2015</v>
      </c>
      <c r="D201" s="16">
        <v>2.9203751121796131</v>
      </c>
      <c r="E201" s="16">
        <v>-0.31286121640113151</v>
      </c>
      <c r="F201" s="21">
        <v>21.111999999999998</v>
      </c>
      <c r="G201" s="15">
        <v>61.392000000000003</v>
      </c>
      <c r="H201" s="22">
        <v>-9.3379999999999992</v>
      </c>
      <c r="I201" s="16">
        <v>5.365119</v>
      </c>
      <c r="J201" s="16">
        <v>15.677789542011059</v>
      </c>
      <c r="K201" s="16">
        <v>6.1792158524815806</v>
      </c>
      <c r="L201" s="16">
        <v>13.25</v>
      </c>
      <c r="M201" s="16">
        <v>8.9933333333333305</v>
      </c>
      <c r="N201" s="16">
        <v>4.2566666666666695</v>
      </c>
      <c r="O201" s="16">
        <v>6.9708459999999999</v>
      </c>
      <c r="P201" s="16">
        <v>67.612009999999998</v>
      </c>
      <c r="Q201" s="16">
        <v>1.6235440000000001</v>
      </c>
      <c r="R201" s="16">
        <v>11.109920000000001</v>
      </c>
      <c r="S201" s="16">
        <v>23.18788</v>
      </c>
      <c r="T201" s="16">
        <v>40.577530000000003</v>
      </c>
      <c r="U201" s="16">
        <v>22.456980000000001</v>
      </c>
      <c r="V201" s="16">
        <v>29.453355398957616</v>
      </c>
      <c r="W201" s="16">
        <v>-3.6122720794756065</v>
      </c>
      <c r="X201" s="16">
        <v>10.98</v>
      </c>
      <c r="Y201" s="16">
        <v>37.138525801473435</v>
      </c>
      <c r="Z201" s="16">
        <v>42.72689100833783</v>
      </c>
      <c r="AA201" s="16">
        <v>14.393963933013781</v>
      </c>
      <c r="AB201" s="16">
        <v>18.77</v>
      </c>
      <c r="AC201" s="16">
        <f t="shared" si="6"/>
        <v>-5.5883652068643954</v>
      </c>
      <c r="AD201" s="8"/>
      <c r="AE201" s="8"/>
      <c r="AF201" s="12"/>
      <c r="AG201" s="12"/>
      <c r="AH201" s="12"/>
      <c r="AI201" s="12"/>
      <c r="AJ201" s="12"/>
      <c r="AK201" s="7"/>
      <c r="AL201" s="7"/>
      <c r="AM201" s="7"/>
      <c r="AN201" s="7"/>
      <c r="AO201" s="7"/>
      <c r="AP201" s="7"/>
      <c r="AQ201" s="7"/>
      <c r="AR201" s="7"/>
      <c r="AS201" s="7"/>
      <c r="AT201" s="7"/>
      <c r="AU201" s="7"/>
      <c r="AV201" s="7"/>
      <c r="AW201" s="7"/>
      <c r="AX201" s="7"/>
      <c r="AY201" s="7"/>
      <c r="AZ201" s="7"/>
      <c r="BA201" s="7"/>
      <c r="BB201" s="7"/>
      <c r="BC201" s="7"/>
    </row>
    <row r="202" spans="1:55" s="10" customFormat="1" x14ac:dyDescent="0.35">
      <c r="A202" s="12" t="s">
        <v>13</v>
      </c>
      <c r="B202" s="12">
        <v>9</v>
      </c>
      <c r="C202" s="13">
        <v>2016</v>
      </c>
      <c r="D202" s="16">
        <v>3.7766791462673126</v>
      </c>
      <c r="E202" s="16">
        <v>0.56127060761153302</v>
      </c>
      <c r="F202" s="21">
        <v>7.5</v>
      </c>
      <c r="G202" s="15">
        <v>60.468000000000004</v>
      </c>
      <c r="H202" s="22">
        <v>-5.7809999999999997</v>
      </c>
      <c r="I202" s="16">
        <v>5.1078739999999998</v>
      </c>
      <c r="J202" s="16">
        <v>12.059431901923388</v>
      </c>
      <c r="K202" s="16">
        <v>1.7150794282802304</v>
      </c>
      <c r="L202" s="16">
        <v>15.5</v>
      </c>
      <c r="M202" s="16">
        <v>10.7841666666667</v>
      </c>
      <c r="N202" s="16">
        <v>4.7158333333333005</v>
      </c>
      <c r="O202" s="16">
        <v>9.6290800000000001</v>
      </c>
      <c r="P202" s="16">
        <v>65.554069999999996</v>
      </c>
      <c r="Q202" s="16">
        <v>1.6888510000000001</v>
      </c>
      <c r="R202" s="16">
        <v>12.89124</v>
      </c>
      <c r="S202" s="16">
        <v>18.396159999999998</v>
      </c>
      <c r="T202" s="16">
        <v>44.027630000000002</v>
      </c>
      <c r="U202" s="16">
        <v>17.21022</v>
      </c>
      <c r="V202" s="16">
        <v>35.358427607622566</v>
      </c>
      <c r="W202" s="16">
        <v>-4.5516882754213617</v>
      </c>
      <c r="X202" s="16">
        <v>9.92</v>
      </c>
      <c r="Y202" s="16">
        <v>35.324675748965745</v>
      </c>
      <c r="Z202" s="16">
        <v>38.633885505650213</v>
      </c>
      <c r="AA202" s="16">
        <v>13.353181426945183</v>
      </c>
      <c r="AB202" s="16">
        <v>18.175999999999998</v>
      </c>
      <c r="AC202" s="16">
        <f t="shared" si="6"/>
        <v>-3.3092097566844672</v>
      </c>
      <c r="AD202" s="8"/>
      <c r="AE202" s="8"/>
      <c r="AF202" s="12"/>
      <c r="AG202" s="12"/>
      <c r="AH202" s="12"/>
      <c r="AI202" s="12"/>
      <c r="AJ202" s="12"/>
      <c r="AK202" s="7"/>
      <c r="AL202" s="7"/>
      <c r="AM202" s="7"/>
      <c r="AN202" s="7"/>
      <c r="AO202" s="7"/>
      <c r="AP202" s="7"/>
      <c r="AQ202" s="7"/>
      <c r="AR202" s="7"/>
      <c r="AS202" s="7"/>
      <c r="AT202" s="7"/>
      <c r="AU202" s="7"/>
      <c r="AV202" s="7"/>
      <c r="AW202" s="7"/>
      <c r="AX202" s="7"/>
      <c r="AY202" s="7"/>
      <c r="AZ202" s="7"/>
      <c r="BA202" s="7"/>
      <c r="BB202" s="7"/>
      <c r="BC202" s="7"/>
    </row>
    <row r="203" spans="1:55" s="10" customFormat="1" x14ac:dyDescent="0.35">
      <c r="A203" s="12" t="s">
        <v>13</v>
      </c>
      <c r="B203" s="12">
        <v>9</v>
      </c>
      <c r="C203" s="13">
        <v>2017</v>
      </c>
      <c r="D203" s="16">
        <v>3.5043360955868224</v>
      </c>
      <c r="E203" s="16">
        <v>0.33128409209921017</v>
      </c>
      <c r="F203" s="21">
        <v>5.8</v>
      </c>
      <c r="G203" s="15">
        <v>55.585999999999999</v>
      </c>
      <c r="H203" s="22">
        <v>-7.9710000000000001</v>
      </c>
      <c r="I203" s="16">
        <v>8.4712019999999999</v>
      </c>
      <c r="J203" s="16">
        <v>11.141935073903237</v>
      </c>
      <c r="K203" s="16">
        <v>2.0702620659127722</v>
      </c>
      <c r="L203" s="16">
        <v>12.375</v>
      </c>
      <c r="M203" s="16">
        <v>8.8874999999999993</v>
      </c>
      <c r="N203" s="16">
        <v>3.4875000000000007</v>
      </c>
      <c r="O203" s="16">
        <v>12.0457</v>
      </c>
      <c r="P203" s="16">
        <v>56.716990000000003</v>
      </c>
      <c r="Q203" s="16">
        <v>3.1084900000000002</v>
      </c>
      <c r="R203" s="16">
        <v>22.626059999999999</v>
      </c>
      <c r="S203" s="16">
        <v>19.64479</v>
      </c>
      <c r="T203" s="16">
        <v>30.941749999999999</v>
      </c>
      <c r="U203" s="16">
        <v>18.700589999999998</v>
      </c>
      <c r="V203" s="16">
        <v>20.75505543688363</v>
      </c>
      <c r="W203" s="16">
        <v>-1.6812705761784947</v>
      </c>
      <c r="X203" s="16">
        <v>9.92</v>
      </c>
      <c r="Y203" s="16">
        <v>34.992857763591765</v>
      </c>
      <c r="Z203" s="16">
        <v>36.592836890664849</v>
      </c>
      <c r="AA203" s="16">
        <v>15.184856960840925</v>
      </c>
      <c r="AB203" s="16">
        <v>17.288</v>
      </c>
      <c r="AC203" s="16">
        <f t="shared" si="6"/>
        <v>-1.5999791270730839</v>
      </c>
      <c r="AD203" s="8"/>
      <c r="AE203" s="8"/>
      <c r="AF203" s="12"/>
      <c r="AG203" s="12"/>
      <c r="AH203" s="12"/>
      <c r="AI203" s="12"/>
      <c r="AJ203" s="12"/>
      <c r="AK203" s="7"/>
      <c r="AL203" s="7"/>
      <c r="AM203" s="7"/>
      <c r="AN203" s="7"/>
      <c r="AO203" s="7"/>
      <c r="AP203" s="7"/>
      <c r="AQ203" s="7"/>
      <c r="AR203" s="7"/>
      <c r="AS203" s="7"/>
      <c r="AT203" s="7"/>
      <c r="AU203" s="7"/>
      <c r="AV203" s="7"/>
      <c r="AW203" s="7"/>
      <c r="AX203" s="7"/>
      <c r="AY203" s="7"/>
      <c r="AZ203" s="7"/>
      <c r="BA203" s="7"/>
      <c r="BB203" s="7"/>
      <c r="BC203" s="7"/>
    </row>
    <row r="204" spans="1:55" s="10" customFormat="1" x14ac:dyDescent="0.35">
      <c r="A204" s="12" t="s">
        <v>13</v>
      </c>
      <c r="B204" s="12">
        <v>9</v>
      </c>
      <c r="C204" s="13">
        <v>2018</v>
      </c>
      <c r="D204" s="16">
        <v>4.0344938966716484</v>
      </c>
      <c r="E204" s="16">
        <v>0.89734746038769231</v>
      </c>
      <c r="F204" s="21">
        <v>8</v>
      </c>
      <c r="G204" s="15">
        <v>59.951999999999998</v>
      </c>
      <c r="H204" s="22">
        <v>-7.7969999999999997</v>
      </c>
      <c r="I204" s="16">
        <v>8.2986350000000009</v>
      </c>
      <c r="J204" s="16">
        <v>11.637526115435277</v>
      </c>
      <c r="K204" s="16">
        <v>2.2158652901341216</v>
      </c>
      <c r="L204" s="16">
        <v>9.7916666666666696</v>
      </c>
      <c r="M204" s="16">
        <v>6.8</v>
      </c>
      <c r="N204" s="16">
        <v>2.9916666666666698</v>
      </c>
      <c r="O204" s="16">
        <v>5.7198700000000002</v>
      </c>
      <c r="P204" s="16">
        <v>56.737870000000001</v>
      </c>
      <c r="Q204" s="16">
        <v>1.35368</v>
      </c>
      <c r="R204" s="16">
        <v>10.270429999999999</v>
      </c>
      <c r="S204" s="16">
        <v>20.510999999999999</v>
      </c>
      <c r="T204" s="16">
        <v>49.950899999999997</v>
      </c>
      <c r="U204" s="16">
        <v>19.675799999999999</v>
      </c>
      <c r="V204" s="16">
        <v>14.441583239076964</v>
      </c>
      <c r="W204" s="16">
        <v>-1.3011668170125712</v>
      </c>
      <c r="X204" s="16">
        <v>11.92</v>
      </c>
      <c r="Y204" s="16">
        <v>37.957404548039364</v>
      </c>
      <c r="Z204" s="16">
        <v>36.930964979427124</v>
      </c>
      <c r="AA204" s="16">
        <v>16.587065472934761</v>
      </c>
      <c r="AB204" s="16">
        <v>18.367999999999999</v>
      </c>
      <c r="AC204" s="16">
        <f t="shared" si="6"/>
        <v>1.0264395686122398</v>
      </c>
      <c r="AD204" s="8"/>
      <c r="AE204" s="8"/>
      <c r="AF204" s="12"/>
      <c r="AG204" s="12"/>
      <c r="AH204" s="12"/>
      <c r="AI204" s="12"/>
      <c r="AJ204" s="12"/>
      <c r="AK204" s="7"/>
      <c r="AL204" s="7"/>
      <c r="AM204" s="7"/>
      <c r="AN204" s="7"/>
      <c r="AO204" s="7"/>
      <c r="AP204" s="7"/>
      <c r="AQ204" s="7"/>
      <c r="AR204" s="7"/>
      <c r="AS204" s="7"/>
      <c r="AT204" s="7"/>
      <c r="AU204" s="7"/>
      <c r="AV204" s="7"/>
      <c r="AW204" s="7"/>
      <c r="AX204" s="7"/>
      <c r="AY204" s="7"/>
      <c r="AZ204" s="7"/>
      <c r="BA204" s="7"/>
      <c r="BB204" s="7"/>
      <c r="BC204" s="7"/>
    </row>
    <row r="205" spans="1:55" s="10" customFormat="1" x14ac:dyDescent="0.35">
      <c r="A205" s="12" t="s">
        <v>13</v>
      </c>
      <c r="B205" s="12">
        <v>9</v>
      </c>
      <c r="C205" s="13">
        <v>2019</v>
      </c>
      <c r="D205" s="16">
        <v>1.4413060260378501</v>
      </c>
      <c r="E205" s="16">
        <v>-1.5642368769501473</v>
      </c>
      <c r="F205" s="21">
        <v>8</v>
      </c>
      <c r="G205" s="15">
        <v>62.420999999999999</v>
      </c>
      <c r="H205" s="22">
        <v>-7.18</v>
      </c>
      <c r="I205" s="16">
        <v>8.4263650000000005</v>
      </c>
      <c r="J205" s="16">
        <v>12.496681210148155</v>
      </c>
      <c r="K205" s="16">
        <v>2.4700000000000002</v>
      </c>
      <c r="L205" s="16">
        <v>10.29</v>
      </c>
      <c r="M205" s="16">
        <v>8.2899999999999991</v>
      </c>
      <c r="N205" s="16">
        <v>2.0058333333333707</v>
      </c>
      <c r="O205" s="16">
        <v>8.4040979999999994</v>
      </c>
      <c r="P205" s="16">
        <v>58.627960000000002</v>
      </c>
      <c r="Q205" s="16">
        <v>1.580368</v>
      </c>
      <c r="R205" s="16">
        <v>13.68577</v>
      </c>
      <c r="S205" s="16">
        <v>21.315200000000001</v>
      </c>
      <c r="T205" s="16">
        <v>47.722020000000001</v>
      </c>
      <c r="U205" s="16">
        <v>20.470079999999999</v>
      </c>
      <c r="V205" s="16">
        <v>18.879463522894525</v>
      </c>
      <c r="W205" s="16">
        <v>0.60369080880268666</v>
      </c>
      <c r="X205" s="16">
        <v>14.11</v>
      </c>
      <c r="Y205" s="16">
        <v>34.63619260318805</v>
      </c>
      <c r="Z205" s="16">
        <v>34.155012332907944</v>
      </c>
      <c r="AA205" s="16">
        <v>16.677622662803508</v>
      </c>
      <c r="AB205" s="16">
        <v>18.420000000000002</v>
      </c>
      <c r="AC205" s="16">
        <f t="shared" si="6"/>
        <v>0.48118027028010601</v>
      </c>
      <c r="AD205" s="8"/>
      <c r="AE205" s="8"/>
      <c r="AF205" s="12"/>
      <c r="AG205" s="12"/>
      <c r="AH205" s="12"/>
      <c r="AI205" s="12"/>
      <c r="AJ205" s="12"/>
      <c r="AK205" s="7"/>
      <c r="AL205" s="7"/>
      <c r="AM205" s="7"/>
      <c r="AN205" s="7"/>
      <c r="AO205" s="7"/>
      <c r="AP205" s="7"/>
      <c r="AQ205" s="7"/>
      <c r="AR205" s="7"/>
      <c r="AS205" s="7"/>
      <c r="AT205" s="7"/>
      <c r="AU205" s="7"/>
      <c r="AV205" s="7"/>
      <c r="AW205" s="7"/>
      <c r="AX205" s="7"/>
      <c r="AY205" s="7"/>
      <c r="AZ205" s="7"/>
      <c r="BA205" s="7"/>
      <c r="BB205" s="7"/>
      <c r="BC205" s="7"/>
    </row>
    <row r="206" spans="1:55" s="10" customFormat="1" x14ac:dyDescent="0.35">
      <c r="A206" s="12" t="s">
        <v>13</v>
      </c>
      <c r="B206" s="12">
        <v>9</v>
      </c>
      <c r="C206" s="13">
        <v>2020</v>
      </c>
      <c r="D206" s="16">
        <v>-2.7850550654516724</v>
      </c>
      <c r="E206" s="16">
        <v>-5.5957330599212867</v>
      </c>
      <c r="F206" s="21">
        <v>8</v>
      </c>
      <c r="G206" s="15">
        <v>63.34</v>
      </c>
      <c r="H206" s="22">
        <v>-6.5389999999999997</v>
      </c>
      <c r="I206" s="16">
        <v>12.22518</v>
      </c>
      <c r="J206" s="16">
        <v>12.266508957914308</v>
      </c>
      <c r="K206" s="16">
        <v>-3.7490805316423388</v>
      </c>
      <c r="L206" s="16">
        <v>9.4791666666666696</v>
      </c>
      <c r="M206" s="16">
        <v>8.7159268266145293</v>
      </c>
      <c r="N206" s="16">
        <v>0.76323984005214074</v>
      </c>
      <c r="O206" s="16">
        <v>6.6212460000000002</v>
      </c>
      <c r="P206" s="16">
        <v>43.396630000000002</v>
      </c>
      <c r="Q206" s="16">
        <v>0.79061440000000005</v>
      </c>
      <c r="R206" s="16">
        <v>7.7672150000000002</v>
      </c>
      <c r="S206" s="16">
        <v>26.497579999999999</v>
      </c>
      <c r="T206" s="16">
        <v>55.85371</v>
      </c>
      <c r="U206" s="16">
        <v>25.528490000000001</v>
      </c>
      <c r="V206" s="16">
        <v>23.003011949055129</v>
      </c>
      <c r="W206" s="16">
        <v>5.3108050690516997</v>
      </c>
      <c r="X206" s="16">
        <v>21.166</v>
      </c>
      <c r="Y206" s="16">
        <v>46.790165376655189</v>
      </c>
      <c r="Z206" s="16">
        <v>32.535322446159562</v>
      </c>
      <c r="AA206" s="16">
        <v>16.442596894578951</v>
      </c>
      <c r="AB206" s="16">
        <v>18.914000000000001</v>
      </c>
      <c r="AC206" s="16">
        <f t="shared" si="6"/>
        <v>14.254842930495627</v>
      </c>
      <c r="AD206" s="8"/>
      <c r="AE206" s="8"/>
      <c r="AF206" s="12"/>
      <c r="AG206" s="12"/>
      <c r="AH206" s="12"/>
      <c r="AI206" s="12"/>
      <c r="AJ206" s="12"/>
      <c r="AK206" s="7"/>
      <c r="AL206" s="7"/>
      <c r="AM206" s="7"/>
      <c r="AN206" s="7"/>
      <c r="AO206" s="7"/>
      <c r="AP206" s="7"/>
      <c r="AQ206" s="7"/>
      <c r="AR206" s="7"/>
      <c r="AS206" s="7"/>
      <c r="AT206" s="7"/>
      <c r="AU206" s="7"/>
      <c r="AV206" s="7"/>
      <c r="AW206" s="7"/>
      <c r="AX206" s="7"/>
      <c r="AY206" s="7"/>
      <c r="AZ206" s="7"/>
      <c r="BA206" s="7"/>
      <c r="BB206" s="7"/>
      <c r="BC206" s="7"/>
    </row>
    <row r="207" spans="1:55" s="10" customFormat="1" x14ac:dyDescent="0.35">
      <c r="A207" s="12" t="s">
        <v>13</v>
      </c>
      <c r="B207" s="12">
        <v>9</v>
      </c>
      <c r="C207" s="13">
        <v>2021</v>
      </c>
      <c r="D207" s="16">
        <v>4.5987340341268492</v>
      </c>
      <c r="E207" s="16">
        <v>1.6690966220754575</v>
      </c>
      <c r="F207" s="21">
        <v>8</v>
      </c>
      <c r="G207" s="15">
        <v>63.71</v>
      </c>
      <c r="H207" s="22">
        <v>-5.2850000000000001</v>
      </c>
      <c r="I207" s="16">
        <v>12.202761500000001</v>
      </c>
      <c r="J207" s="16">
        <v>8.4755608191739551</v>
      </c>
      <c r="K207" s="16">
        <v>6.1792158524815806</v>
      </c>
      <c r="L207" s="16">
        <v>9.3229166666666696</v>
      </c>
      <c r="M207" s="16">
        <v>9.6738902399217945</v>
      </c>
      <c r="N207" s="16">
        <v>-0.47935365322908918</v>
      </c>
      <c r="O207" s="16">
        <v>9.4162180000000006</v>
      </c>
      <c r="P207" s="16">
        <v>38.225250000000003</v>
      </c>
      <c r="Q207" s="16">
        <v>2.6525919999999998</v>
      </c>
      <c r="R207" s="16">
        <v>28.727270000000001</v>
      </c>
      <c r="S207" s="16">
        <v>23.160449999999997</v>
      </c>
      <c r="T207" s="16">
        <v>48.980890000000002</v>
      </c>
      <c r="U207" s="16">
        <v>25.356369999999998</v>
      </c>
      <c r="V207" s="16">
        <v>34.401465798642619</v>
      </c>
      <c r="W207" s="16">
        <v>12.164885513023812</v>
      </c>
      <c r="X207" s="16">
        <v>16.673312500000002</v>
      </c>
      <c r="Y207" s="16">
        <v>52.078387017883379</v>
      </c>
      <c r="Z207" s="16">
        <v>33.9137895433267</v>
      </c>
      <c r="AA207" s="16">
        <v>16.741594052555815</v>
      </c>
      <c r="AB207" s="16">
        <v>19.404</v>
      </c>
      <c r="AC207" s="16">
        <f t="shared" si="6"/>
        <v>18.164597474556679</v>
      </c>
      <c r="AD207" s="8"/>
      <c r="AE207" s="8"/>
      <c r="AF207" s="12"/>
      <c r="AG207" s="12"/>
      <c r="AH207" s="12"/>
      <c r="AI207" s="12"/>
      <c r="AJ207" s="12"/>
      <c r="AK207" s="7"/>
      <c r="AL207" s="7"/>
      <c r="AM207" s="7"/>
      <c r="AN207" s="7"/>
      <c r="AO207" s="7"/>
      <c r="AP207" s="7"/>
      <c r="AQ207" s="7"/>
      <c r="AR207" s="7"/>
      <c r="AS207" s="7"/>
      <c r="AT207" s="7"/>
      <c r="AU207" s="7"/>
      <c r="AV207" s="7"/>
      <c r="AW207" s="7"/>
      <c r="AX207" s="7"/>
      <c r="AY207" s="7"/>
      <c r="AZ207" s="7"/>
      <c r="BA207" s="7"/>
      <c r="BB207" s="7"/>
      <c r="BC207" s="7"/>
    </row>
    <row r="208" spans="1:55" s="10" customFormat="1" x14ac:dyDescent="0.35">
      <c r="A208" s="12" t="s">
        <v>13</v>
      </c>
      <c r="B208" s="12">
        <v>9</v>
      </c>
      <c r="C208" s="13">
        <v>2022</v>
      </c>
      <c r="D208" s="16">
        <v>4.7449424943415863</v>
      </c>
      <c r="E208" s="16">
        <v>1.8955177516932054</v>
      </c>
      <c r="F208" s="21">
        <v>8</v>
      </c>
      <c r="G208" s="15">
        <v>62.845999999999997</v>
      </c>
      <c r="H208" s="22">
        <v>-4.274</v>
      </c>
      <c r="I208" s="16">
        <v>13.621738999999998</v>
      </c>
      <c r="J208" s="16">
        <v>10.001174655458883</v>
      </c>
      <c r="K208" s="16">
        <v>1.71</v>
      </c>
      <c r="L208" s="16">
        <v>9.1666666666666696</v>
      </c>
      <c r="M208" s="16">
        <v>10.63185365322906</v>
      </c>
      <c r="N208" s="16">
        <v>-1.7219471465103191</v>
      </c>
      <c r="O208" s="16">
        <v>12.21119</v>
      </c>
      <c r="P208" s="16">
        <v>33.053870000000003</v>
      </c>
      <c r="Q208" s="16">
        <v>4.5145695999999997</v>
      </c>
      <c r="R208" s="16">
        <v>49.687325000000001</v>
      </c>
      <c r="S208" s="16">
        <v>19.823319999999999</v>
      </c>
      <c r="T208" s="16">
        <v>42.108069999999998</v>
      </c>
      <c r="U208" s="16">
        <v>25.184249999999995</v>
      </c>
      <c r="V208" s="16">
        <v>32.382257475157957</v>
      </c>
      <c r="W208" s="16">
        <v>3.8765790422210742</v>
      </c>
      <c r="X208" s="16">
        <v>18.083437499999999</v>
      </c>
      <c r="Y208" s="16">
        <v>38.431952933434033</v>
      </c>
      <c r="Z208" s="16">
        <v>27.156931971130501</v>
      </c>
      <c r="AA208" s="16">
        <v>17.040591210532678</v>
      </c>
      <c r="AB208" s="16">
        <v>19.576000000000001</v>
      </c>
      <c r="AC208" s="16">
        <f t="shared" si="6"/>
        <v>11.275020962303532</v>
      </c>
      <c r="AD208" s="8"/>
      <c r="AE208" s="8"/>
      <c r="AF208" s="12"/>
      <c r="AG208" s="12"/>
      <c r="AH208" s="12"/>
      <c r="AI208" s="12"/>
      <c r="AJ208" s="12"/>
      <c r="AK208" s="7"/>
      <c r="AL208" s="7"/>
      <c r="AM208" s="7"/>
      <c r="AN208" s="7"/>
      <c r="AO208" s="7"/>
      <c r="AP208" s="7"/>
      <c r="AQ208" s="7"/>
      <c r="AR208" s="7"/>
      <c r="AS208" s="7"/>
      <c r="AT208" s="7"/>
      <c r="AU208" s="7"/>
      <c r="AV208" s="7"/>
      <c r="AW208" s="7"/>
      <c r="AX208" s="7"/>
      <c r="AY208" s="7"/>
      <c r="AZ208" s="7"/>
      <c r="BA208" s="7"/>
      <c r="BB208" s="7"/>
      <c r="BC208" s="7"/>
    </row>
    <row r="209" spans="1:55" s="10" customFormat="1" x14ac:dyDescent="0.35">
      <c r="A209" s="12"/>
      <c r="B209" s="12"/>
      <c r="C209" s="12"/>
      <c r="D209" s="8"/>
      <c r="E209" s="8"/>
      <c r="F209" s="9"/>
      <c r="G209" s="6"/>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12"/>
      <c r="AG209" s="12"/>
      <c r="AH209" s="12"/>
      <c r="AI209" s="12"/>
      <c r="AJ209" s="12"/>
      <c r="AK209" s="7"/>
      <c r="AL209" s="7"/>
      <c r="AM209" s="7"/>
      <c r="AN209" s="7"/>
      <c r="AO209" s="7"/>
      <c r="AP209" s="7"/>
      <c r="AQ209" s="7"/>
      <c r="AR209" s="7"/>
      <c r="AS209" s="7"/>
      <c r="AT209" s="7"/>
      <c r="AU209" s="7"/>
      <c r="AV209" s="7"/>
      <c r="AW209" s="7"/>
      <c r="AX209" s="7"/>
      <c r="AY209" s="7"/>
      <c r="AZ209" s="7"/>
      <c r="BA209" s="7"/>
      <c r="BB209" s="7"/>
      <c r="BC209" s="7"/>
    </row>
    <row r="211" spans="1:55" x14ac:dyDescent="0.35">
      <c r="AC211" s="12"/>
      <c r="AD211" s="12"/>
      <c r="AE211" s="12"/>
      <c r="AH211" s="7"/>
      <c r="AI211" s="7"/>
      <c r="AJ211" s="7"/>
    </row>
    <row r="212" spans="1:55" x14ac:dyDescent="0.35">
      <c r="AC212" s="12"/>
      <c r="AD212" s="12"/>
      <c r="AE212" s="12"/>
      <c r="AH212" s="7"/>
      <c r="AI212" s="7"/>
      <c r="AJ212" s="7"/>
    </row>
    <row r="213" spans="1:55" x14ac:dyDescent="0.35">
      <c r="AC213" s="12"/>
      <c r="AD213" s="12"/>
      <c r="AE213" s="12"/>
      <c r="AH213" s="7"/>
      <c r="AI213" s="7"/>
      <c r="AJ213" s="7"/>
    </row>
    <row r="214" spans="1:55" x14ac:dyDescent="0.35">
      <c r="AC214" s="12"/>
      <c r="AD214" s="12"/>
      <c r="AE214" s="12"/>
      <c r="AH214" s="7"/>
      <c r="AI214" s="7"/>
      <c r="AJ214" s="7"/>
    </row>
    <row r="215" spans="1:55" x14ac:dyDescent="0.35">
      <c r="AC215" s="12"/>
      <c r="AD215" s="12"/>
      <c r="AE215" s="12"/>
      <c r="AH215" s="7"/>
      <c r="AI215" s="7"/>
      <c r="AJ215" s="7"/>
    </row>
    <row r="238" spans="1:55" s="8" customFormat="1" x14ac:dyDescent="0.35">
      <c r="A238" s="12"/>
      <c r="B238" s="12"/>
      <c r="C238" s="12"/>
      <c r="F238" s="9"/>
      <c r="G238" s="6"/>
      <c r="AF238" s="12"/>
      <c r="AG238" s="12"/>
      <c r="AH238" s="12"/>
      <c r="AI238" s="12"/>
      <c r="AJ238" s="12"/>
      <c r="AK238" s="7"/>
      <c r="AL238" s="7"/>
      <c r="AM238" s="7"/>
      <c r="AN238" s="7"/>
      <c r="AO238" s="7"/>
      <c r="AP238" s="7"/>
      <c r="AQ238" s="7"/>
      <c r="AR238" s="7"/>
      <c r="AS238" s="7"/>
      <c r="AT238" s="7"/>
      <c r="AU238" s="7"/>
      <c r="AV238" s="7"/>
      <c r="AW238" s="7"/>
      <c r="AX238" s="7"/>
      <c r="AY238" s="7"/>
      <c r="AZ238" s="7"/>
      <c r="BA238" s="7"/>
      <c r="BB238" s="7"/>
      <c r="BC238" s="7"/>
    </row>
    <row r="239" spans="1:55" s="8" customFormat="1" x14ac:dyDescent="0.35">
      <c r="A239" s="12"/>
      <c r="B239" s="12"/>
      <c r="C239" s="12"/>
      <c r="F239" s="9"/>
      <c r="G239" s="6"/>
      <c r="AF239" s="12"/>
      <c r="AG239" s="12"/>
      <c r="AH239" s="12"/>
      <c r="AI239" s="12"/>
      <c r="AJ239" s="12"/>
      <c r="AK239" s="7"/>
      <c r="AL239" s="7"/>
      <c r="AM239" s="7"/>
      <c r="AN239" s="7"/>
      <c r="AO239" s="7"/>
      <c r="AP239" s="7"/>
      <c r="AQ239" s="7"/>
      <c r="AR239" s="7"/>
      <c r="AS239" s="7"/>
      <c r="AT239" s="7"/>
      <c r="AU239" s="7"/>
      <c r="AV239" s="7"/>
      <c r="AW239" s="7"/>
      <c r="AX239" s="7"/>
      <c r="AY239" s="7"/>
      <c r="AZ239" s="7"/>
      <c r="BA239" s="7"/>
      <c r="BB239" s="7"/>
      <c r="BC239" s="7"/>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9"/>
  <sheetViews>
    <sheetView workbookViewId="0">
      <selection activeCell="C15" sqref="C15:F19"/>
    </sheetView>
  </sheetViews>
  <sheetFormatPr defaultRowHeight="14.5" x14ac:dyDescent="0.35"/>
  <sheetData>
    <row r="4" spans="2:6" x14ac:dyDescent="0.35">
      <c r="B4" t="s">
        <v>18</v>
      </c>
      <c r="C4" t="s">
        <v>14</v>
      </c>
      <c r="D4" t="s">
        <v>15</v>
      </c>
      <c r="E4" t="s">
        <v>16</v>
      </c>
      <c r="F4" t="s">
        <v>17</v>
      </c>
    </row>
    <row r="5" spans="2:6" x14ac:dyDescent="0.35">
      <c r="B5">
        <v>2008</v>
      </c>
      <c r="C5" s="16">
        <v>8.6861778556254041</v>
      </c>
      <c r="D5" s="16">
        <v>20.3333333333333</v>
      </c>
      <c r="E5" s="16">
        <v>8</v>
      </c>
      <c r="F5" s="16">
        <v>12.3333333333333</v>
      </c>
    </row>
    <row r="6" spans="2:6" x14ac:dyDescent="0.35">
      <c r="B6">
        <v>2009</v>
      </c>
      <c r="C6" s="16">
        <v>19.930464210548706</v>
      </c>
      <c r="D6" s="16">
        <v>20.045454545454515</v>
      </c>
      <c r="E6" s="16">
        <v>7.5901418413567781</v>
      </c>
      <c r="F6" s="16">
        <v>12.455312704097736</v>
      </c>
    </row>
    <row r="7" spans="2:6" x14ac:dyDescent="0.35">
      <c r="B7">
        <v>2010</v>
      </c>
      <c r="C7" s="16">
        <v>-4.3673617298686258</v>
      </c>
      <c r="D7" s="16">
        <v>19.757575757575729</v>
      </c>
      <c r="E7" s="16">
        <v>7.1802836827135561</v>
      </c>
      <c r="F7" s="16">
        <v>12.577292074862171</v>
      </c>
    </row>
    <row r="8" spans="2:6" x14ac:dyDescent="0.35">
      <c r="B8">
        <v>2011</v>
      </c>
      <c r="C8" s="16">
        <v>-0.46599403467414663</v>
      </c>
      <c r="D8" s="16">
        <v>19.46969696969694</v>
      </c>
      <c r="E8" s="16">
        <v>6.7704255240703342</v>
      </c>
      <c r="F8" s="16">
        <v>12.699271445626609</v>
      </c>
    </row>
    <row r="9" spans="2:6" x14ac:dyDescent="0.35">
      <c r="B9">
        <v>2012</v>
      </c>
      <c r="C9" s="16">
        <v>16.469090593045205</v>
      </c>
      <c r="D9" s="16">
        <v>19.181818181818155</v>
      </c>
      <c r="E9" s="16">
        <v>6.3605673654271122</v>
      </c>
      <c r="F9" s="16">
        <v>12.821250816391045</v>
      </c>
    </row>
    <row r="10" spans="2:6" x14ac:dyDescent="0.35">
      <c r="B10">
        <v>2013</v>
      </c>
      <c r="C10" s="16">
        <v>11.974614812965077</v>
      </c>
      <c r="D10" s="16">
        <v>18.89393939393937</v>
      </c>
      <c r="E10" s="16">
        <v>5.9507092067838894</v>
      </c>
      <c r="F10" s="16">
        <v>12.94323018715548</v>
      </c>
    </row>
    <row r="11" spans="2:6" x14ac:dyDescent="0.35">
      <c r="B11">
        <v>2014</v>
      </c>
      <c r="C11" s="16">
        <v>32.767950816338946</v>
      </c>
      <c r="D11" s="16">
        <v>18.606060606060584</v>
      </c>
      <c r="E11" s="16">
        <v>5.5408510481406683</v>
      </c>
      <c r="F11" s="16">
        <v>13.065209557919916</v>
      </c>
    </row>
    <row r="12" spans="2:6" x14ac:dyDescent="0.35">
      <c r="B12">
        <v>2015</v>
      </c>
      <c r="C12" s="16">
        <v>22.891296400070722</v>
      </c>
      <c r="D12" s="16">
        <v>18.318181818181799</v>
      </c>
      <c r="E12" s="16">
        <v>5.1309928894974455</v>
      </c>
      <c r="F12" s="16">
        <v>13.187188928684352</v>
      </c>
    </row>
    <row r="13" spans="2:6" x14ac:dyDescent="0.35">
      <c r="B13">
        <v>2016</v>
      </c>
      <c r="C13" s="16">
        <v>5.2063369082847766</v>
      </c>
      <c r="D13" s="16">
        <v>18.030303030303013</v>
      </c>
      <c r="E13" s="16">
        <v>4.7211347308542244</v>
      </c>
      <c r="F13" s="16">
        <v>13.309168299448789</v>
      </c>
    </row>
    <row r="14" spans="2:6" x14ac:dyDescent="0.35">
      <c r="B14">
        <v>2017</v>
      </c>
      <c r="C14" s="16">
        <v>15.175538651733895</v>
      </c>
      <c r="D14" s="16">
        <v>17.742424242424228</v>
      </c>
      <c r="E14" s="16">
        <v>4.3112765722110016</v>
      </c>
      <c r="F14" s="16">
        <v>13.431147670213225</v>
      </c>
    </row>
    <row r="15" spans="2:6" x14ac:dyDescent="0.35">
      <c r="B15">
        <v>2018</v>
      </c>
      <c r="C15" s="16">
        <v>13.749213246719901</v>
      </c>
      <c r="D15" s="16">
        <v>17.454545454545439</v>
      </c>
      <c r="E15" s="16">
        <v>3.9014184135677796</v>
      </c>
      <c r="F15" s="16">
        <v>13.55312704097766</v>
      </c>
    </row>
    <row r="16" spans="2:6" x14ac:dyDescent="0.35">
      <c r="B16">
        <v>2019</v>
      </c>
      <c r="C16" s="16">
        <v>12.702091879952301</v>
      </c>
      <c r="D16" s="16">
        <v>17.166666666666654</v>
      </c>
      <c r="E16" s="16">
        <v>3.4915602549245577</v>
      </c>
      <c r="F16" s="16">
        <v>13.675106411742096</v>
      </c>
    </row>
    <row r="17" spans="2:6" x14ac:dyDescent="0.35">
      <c r="B17">
        <v>2020</v>
      </c>
      <c r="C17" s="16">
        <v>11.654970513184701</v>
      </c>
      <c r="D17" s="16">
        <v>16.878787878787868</v>
      </c>
      <c r="E17" s="16">
        <v>3.0817020962813357</v>
      </c>
      <c r="F17" s="16">
        <v>13.797085782506532</v>
      </c>
    </row>
    <row r="18" spans="2:6" x14ac:dyDescent="0.35">
      <c r="B18">
        <v>2021</v>
      </c>
      <c r="C18" s="16">
        <v>10.607849146417101</v>
      </c>
      <c r="D18" s="16">
        <v>16.590909090909083</v>
      </c>
      <c r="E18" s="16">
        <v>2.6718439376381138</v>
      </c>
      <c r="F18" s="16">
        <v>13.919065153270967</v>
      </c>
    </row>
    <row r="19" spans="2:6" x14ac:dyDescent="0.35">
      <c r="B19">
        <v>2022</v>
      </c>
      <c r="C19" s="16">
        <v>9.56072777964952</v>
      </c>
      <c r="D19" s="16">
        <v>16.303030303030297</v>
      </c>
      <c r="E19" s="16">
        <v>2.2619857789948918</v>
      </c>
      <c r="F19" s="16">
        <v>14.041044524035405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SADC WEO-All</vt:lpstr>
      <vt:lpstr>Tax Revenue</vt:lpstr>
      <vt:lpstr>Analysis</vt:lpstr>
      <vt:lpstr>Interest rates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T. Senzani</dc:creator>
  <cp:lastModifiedBy>Samuel T. Senzani</cp:lastModifiedBy>
  <dcterms:created xsi:type="dcterms:W3CDTF">2024-03-03T16:29:28Z</dcterms:created>
  <dcterms:modified xsi:type="dcterms:W3CDTF">2024-03-04T11:53:06Z</dcterms:modified>
</cp:coreProperties>
</file>